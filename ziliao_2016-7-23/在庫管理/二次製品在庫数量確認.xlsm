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ropbox\システム開発\在庫管理\"/>
    </mc:Choice>
  </mc:AlternateContent>
  <bookViews>
    <workbookView xWindow="240" yWindow="105" windowWidth="14805" windowHeight="8010" tabRatio="392"/>
  </bookViews>
  <sheets>
    <sheet name="丸健二次製品在庫数確認" sheetId="25" r:id="rId1"/>
    <sheet name="マツモト二次製品在庫数確認" sheetId="24" r:id="rId2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localSheetId="0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_xlnm.Print_Area" localSheetId="1">マツモト二次製品在庫数確認!$C$271:$J$273</definedName>
    <definedName name="出荷店舗リスト" localSheetId="1">マツモト二次製品在庫数確認!#REF!</definedName>
    <definedName name="出荷店舗リスト" localSheetId="0">#REF!</definedName>
    <definedName name="出荷店舗リスト">#REF!</definedName>
  </definedNames>
  <calcPr calcId="152511"/>
</workbook>
</file>

<file path=xl/calcChain.xml><?xml version="1.0" encoding="utf-8"?>
<calcChain xmlns="http://schemas.openxmlformats.org/spreadsheetml/2006/main">
  <c r="F74" i="24" l="1"/>
  <c r="H74" i="24" s="1"/>
  <c r="F73" i="24"/>
  <c r="H73" i="24" s="1"/>
  <c r="F72" i="24"/>
  <c r="H72" i="24" s="1"/>
  <c r="F71" i="24"/>
  <c r="H71" i="24" s="1"/>
  <c r="F70" i="24"/>
  <c r="H70" i="24" s="1"/>
  <c r="F69" i="24"/>
  <c r="H69" i="24" s="1"/>
  <c r="F68" i="24"/>
  <c r="H68" i="24" s="1"/>
  <c r="F67" i="24"/>
  <c r="H67" i="24" s="1"/>
  <c r="F66" i="24"/>
  <c r="H66" i="24" s="1"/>
  <c r="F65" i="24"/>
  <c r="H65" i="24" s="1"/>
  <c r="F64" i="24"/>
  <c r="H64" i="24" s="1"/>
  <c r="F63" i="24"/>
  <c r="H63" i="24" s="1"/>
  <c r="F62" i="24"/>
  <c r="H62" i="24" s="1"/>
  <c r="F61" i="24"/>
  <c r="H61" i="24" s="1"/>
  <c r="F60" i="24"/>
  <c r="H60" i="24" s="1"/>
  <c r="F59" i="24"/>
  <c r="H59" i="24" s="1"/>
  <c r="F58" i="24"/>
  <c r="H58" i="24" s="1"/>
  <c r="F57" i="24"/>
  <c r="H57" i="24" s="1"/>
  <c r="F56" i="24"/>
  <c r="H56" i="24" s="1"/>
  <c r="F55" i="24"/>
  <c r="H55" i="24" s="1"/>
  <c r="F54" i="24"/>
  <c r="H54" i="24" s="1"/>
  <c r="F53" i="24"/>
  <c r="H53" i="24" s="1"/>
  <c r="F52" i="24"/>
  <c r="H52" i="24" s="1"/>
  <c r="F51" i="24"/>
  <c r="H51" i="24" s="1"/>
  <c r="F50" i="24"/>
  <c r="H50" i="24" s="1"/>
  <c r="F49" i="24"/>
  <c r="H49" i="24" s="1"/>
  <c r="F48" i="24"/>
  <c r="H48" i="24" s="1"/>
  <c r="F47" i="24"/>
  <c r="H47" i="24" s="1"/>
  <c r="F46" i="24"/>
  <c r="H46" i="24" s="1"/>
  <c r="F45" i="24"/>
  <c r="H45" i="24" s="1"/>
  <c r="F44" i="24"/>
  <c r="H44" i="24" s="1"/>
  <c r="F43" i="24"/>
  <c r="H43" i="24" s="1"/>
  <c r="F42" i="24"/>
  <c r="H42" i="24" s="1"/>
  <c r="F41" i="24"/>
  <c r="H41" i="24" s="1"/>
  <c r="F40" i="24"/>
  <c r="H40" i="24" s="1"/>
  <c r="F39" i="24"/>
  <c r="H39" i="24" s="1"/>
  <c r="F38" i="24"/>
  <c r="H38" i="24" s="1"/>
  <c r="F37" i="24"/>
  <c r="H37" i="24" s="1"/>
  <c r="F36" i="24"/>
  <c r="H36" i="24" s="1"/>
  <c r="F35" i="24"/>
  <c r="H35" i="24" s="1"/>
  <c r="F34" i="24"/>
  <c r="H34" i="24" s="1"/>
  <c r="F33" i="24"/>
  <c r="H33" i="24" s="1"/>
  <c r="F32" i="24"/>
  <c r="H32" i="24" s="1"/>
  <c r="F31" i="24"/>
  <c r="H31" i="24" s="1"/>
  <c r="F30" i="24"/>
  <c r="H30" i="24" s="1"/>
  <c r="F29" i="24"/>
  <c r="H29" i="24" s="1"/>
  <c r="F28" i="24"/>
  <c r="H28" i="24" s="1"/>
  <c r="F27" i="24"/>
  <c r="H27" i="24" s="1"/>
  <c r="F26" i="24"/>
  <c r="H26" i="24" s="1"/>
  <c r="F25" i="24"/>
  <c r="H25" i="24" s="1"/>
  <c r="F24" i="24"/>
  <c r="H24" i="24" s="1"/>
  <c r="F23" i="24"/>
  <c r="H23" i="24" s="1"/>
  <c r="F22" i="24"/>
  <c r="H22" i="24" s="1"/>
  <c r="F21" i="24"/>
  <c r="H21" i="24" s="1"/>
  <c r="F20" i="24"/>
  <c r="H20" i="24" s="1"/>
  <c r="F19" i="24"/>
  <c r="H19" i="24" s="1"/>
  <c r="F18" i="24"/>
  <c r="H18" i="24" s="1"/>
  <c r="F17" i="24"/>
  <c r="H17" i="24" s="1"/>
  <c r="F16" i="24"/>
  <c r="H16" i="24" s="1"/>
  <c r="F15" i="24"/>
  <c r="H15" i="24" s="1"/>
  <c r="F14" i="24"/>
  <c r="H14" i="24" s="1"/>
  <c r="F13" i="24"/>
  <c r="H13" i="24" s="1"/>
  <c r="F12" i="24"/>
  <c r="H12" i="24" s="1"/>
  <c r="F11" i="24"/>
  <c r="H11" i="24" s="1"/>
  <c r="F10" i="24"/>
  <c r="H10" i="24" s="1"/>
  <c r="F9" i="24"/>
  <c r="H9" i="24" s="1"/>
  <c r="F8" i="24"/>
  <c r="H8" i="24" s="1"/>
  <c r="F7" i="24"/>
  <c r="H7" i="24" s="1"/>
  <c r="F6" i="24"/>
  <c r="H6" i="24" s="1"/>
  <c r="F5" i="24"/>
  <c r="H5" i="24" s="1"/>
  <c r="F4" i="24"/>
  <c r="H4" i="24" s="1"/>
  <c r="F3" i="24"/>
  <c r="H3" i="24" s="1"/>
  <c r="I75" i="25"/>
  <c r="H75" i="25"/>
  <c r="F75" i="25"/>
  <c r="E75" i="25"/>
  <c r="D75" i="25"/>
  <c r="G72" i="25"/>
  <c r="J72" i="25" s="1"/>
  <c r="K72" i="25" s="1"/>
  <c r="G71" i="25"/>
  <c r="J71" i="25" s="1"/>
  <c r="K71" i="25" s="1"/>
  <c r="G70" i="25"/>
  <c r="J70" i="25" s="1"/>
  <c r="K70" i="25" s="1"/>
  <c r="G69" i="25"/>
  <c r="J69" i="25" s="1"/>
  <c r="K69" i="25" s="1"/>
  <c r="G68" i="25"/>
  <c r="J68" i="25" s="1"/>
  <c r="K68" i="25" s="1"/>
  <c r="G67" i="25"/>
  <c r="J67" i="25" s="1"/>
  <c r="K67" i="25" s="1"/>
  <c r="G66" i="25"/>
  <c r="J66" i="25" s="1"/>
  <c r="K66" i="25" s="1"/>
  <c r="G65" i="25"/>
  <c r="J65" i="25" s="1"/>
  <c r="K65" i="25" s="1"/>
  <c r="G64" i="25"/>
  <c r="J64" i="25" s="1"/>
  <c r="K64" i="25" s="1"/>
  <c r="G63" i="25"/>
  <c r="J63" i="25" s="1"/>
  <c r="K63" i="25" s="1"/>
  <c r="G62" i="25"/>
  <c r="J62" i="25" s="1"/>
  <c r="K62" i="25" s="1"/>
  <c r="G61" i="25"/>
  <c r="J61" i="25" s="1"/>
  <c r="K61" i="25" s="1"/>
  <c r="G60" i="25"/>
  <c r="J60" i="25" s="1"/>
  <c r="K60" i="25" s="1"/>
  <c r="G59" i="25"/>
  <c r="J59" i="25" s="1"/>
  <c r="K59" i="25" s="1"/>
  <c r="G58" i="25"/>
  <c r="J58" i="25" s="1"/>
  <c r="K58" i="25" s="1"/>
  <c r="G57" i="25"/>
  <c r="J57" i="25" s="1"/>
  <c r="K57" i="25" s="1"/>
  <c r="G56" i="25"/>
  <c r="J56" i="25" s="1"/>
  <c r="K56" i="25" s="1"/>
  <c r="G55" i="25"/>
  <c r="J55" i="25" s="1"/>
  <c r="K55" i="25" s="1"/>
  <c r="G54" i="25"/>
  <c r="J54" i="25" s="1"/>
  <c r="K54" i="25" s="1"/>
  <c r="G53" i="25"/>
  <c r="J53" i="25" s="1"/>
  <c r="K53" i="25" s="1"/>
  <c r="G52" i="25"/>
  <c r="J52" i="25" s="1"/>
  <c r="K52" i="25" s="1"/>
  <c r="G51" i="25"/>
  <c r="J51" i="25" s="1"/>
  <c r="K51" i="25" s="1"/>
  <c r="G50" i="25"/>
  <c r="J50" i="25" s="1"/>
  <c r="K50" i="25" s="1"/>
  <c r="G49" i="25"/>
  <c r="J49" i="25" s="1"/>
  <c r="K49" i="25" s="1"/>
  <c r="G48" i="25"/>
  <c r="J48" i="25" s="1"/>
  <c r="K48" i="25" s="1"/>
  <c r="G47" i="25"/>
  <c r="J47" i="25" s="1"/>
  <c r="K47" i="25" s="1"/>
  <c r="G46" i="25"/>
  <c r="J46" i="25" s="1"/>
  <c r="K46" i="25" s="1"/>
  <c r="G45" i="25"/>
  <c r="J45" i="25" s="1"/>
  <c r="K45" i="25" s="1"/>
  <c r="G44" i="25"/>
  <c r="J44" i="25" s="1"/>
  <c r="K44" i="25" s="1"/>
  <c r="G43" i="25"/>
  <c r="J43" i="25" s="1"/>
  <c r="K43" i="25" s="1"/>
  <c r="G42" i="25"/>
  <c r="J42" i="25" s="1"/>
  <c r="K42" i="25" s="1"/>
  <c r="G41" i="25"/>
  <c r="J41" i="25" s="1"/>
  <c r="K41" i="25" s="1"/>
  <c r="G40" i="25"/>
  <c r="J40" i="25" s="1"/>
  <c r="K40" i="25" s="1"/>
  <c r="G39" i="25"/>
  <c r="J39" i="25" s="1"/>
  <c r="K39" i="25" s="1"/>
  <c r="G38" i="25"/>
  <c r="J38" i="25" s="1"/>
  <c r="K38" i="25" s="1"/>
  <c r="G37" i="25"/>
  <c r="J37" i="25" s="1"/>
  <c r="K37" i="25" s="1"/>
  <c r="G36" i="25"/>
  <c r="J36" i="25" s="1"/>
  <c r="K36" i="25" s="1"/>
  <c r="G35" i="25"/>
  <c r="J35" i="25" s="1"/>
  <c r="K35" i="25" s="1"/>
  <c r="G34" i="25"/>
  <c r="J34" i="25" s="1"/>
  <c r="K34" i="25" s="1"/>
  <c r="G33" i="25"/>
  <c r="J33" i="25" s="1"/>
  <c r="K33" i="25" s="1"/>
  <c r="G32" i="25"/>
  <c r="J32" i="25" s="1"/>
  <c r="K32" i="25" s="1"/>
  <c r="G31" i="25"/>
  <c r="J31" i="25" s="1"/>
  <c r="K31" i="25" s="1"/>
  <c r="G30" i="25"/>
  <c r="J30" i="25" s="1"/>
  <c r="K30" i="25" s="1"/>
  <c r="G29" i="25"/>
  <c r="J29" i="25" s="1"/>
  <c r="K29" i="25" s="1"/>
  <c r="G28" i="25"/>
  <c r="J28" i="25" s="1"/>
  <c r="K28" i="25" s="1"/>
  <c r="G27" i="25"/>
  <c r="J27" i="25" s="1"/>
  <c r="K27" i="25" s="1"/>
  <c r="G26" i="25"/>
  <c r="J26" i="25" s="1"/>
  <c r="K26" i="25" s="1"/>
  <c r="G25" i="25"/>
  <c r="J25" i="25" s="1"/>
  <c r="K25" i="25" s="1"/>
  <c r="G24" i="25"/>
  <c r="J24" i="25" s="1"/>
  <c r="K24" i="25" s="1"/>
  <c r="G23" i="25"/>
  <c r="J23" i="25" s="1"/>
  <c r="K23" i="25" s="1"/>
  <c r="G22" i="25"/>
  <c r="J22" i="25" s="1"/>
  <c r="K22" i="25" s="1"/>
  <c r="G21" i="25"/>
  <c r="J21" i="25" s="1"/>
  <c r="K21" i="25" s="1"/>
  <c r="G20" i="25"/>
  <c r="J20" i="25" s="1"/>
  <c r="K20" i="25" s="1"/>
  <c r="G19" i="25"/>
  <c r="J19" i="25" s="1"/>
  <c r="K19" i="25" s="1"/>
  <c r="G18" i="25"/>
  <c r="J18" i="25" s="1"/>
  <c r="K18" i="25" s="1"/>
  <c r="G17" i="25"/>
  <c r="J17" i="25" s="1"/>
  <c r="K17" i="25" s="1"/>
  <c r="G16" i="25"/>
  <c r="J16" i="25" s="1"/>
  <c r="K16" i="25" s="1"/>
  <c r="G15" i="25"/>
  <c r="J15" i="25" s="1"/>
  <c r="K15" i="25" s="1"/>
  <c r="G14" i="25"/>
  <c r="J14" i="25" s="1"/>
  <c r="K14" i="25" s="1"/>
  <c r="G13" i="25"/>
  <c r="J13" i="25" s="1"/>
  <c r="K13" i="25" s="1"/>
  <c r="G12" i="25"/>
  <c r="J12" i="25" s="1"/>
  <c r="K12" i="25" s="1"/>
  <c r="G11" i="25"/>
  <c r="J11" i="25" s="1"/>
  <c r="K11" i="25" s="1"/>
  <c r="G10" i="25"/>
  <c r="J10" i="25" s="1"/>
  <c r="K10" i="25" s="1"/>
  <c r="G9" i="25"/>
  <c r="J9" i="25" s="1"/>
  <c r="K9" i="25" s="1"/>
  <c r="G8" i="25"/>
  <c r="J8" i="25" s="1"/>
  <c r="K8" i="25" s="1"/>
  <c r="G7" i="25"/>
  <c r="J7" i="25" s="1"/>
  <c r="K7" i="25" s="1"/>
  <c r="G6" i="25"/>
  <c r="J6" i="25" s="1"/>
  <c r="K6" i="25" s="1"/>
  <c r="G5" i="25"/>
  <c r="J5" i="25" s="1"/>
  <c r="K5" i="25" s="1"/>
  <c r="G4" i="25"/>
  <c r="J4" i="25" s="1"/>
  <c r="K4" i="25" s="1"/>
  <c r="G3" i="25"/>
  <c r="J3" i="25" s="1"/>
  <c r="K3" i="25" s="1"/>
  <c r="G75" i="25" l="1"/>
  <c r="G74" i="25" s="1"/>
  <c r="J74" i="25" s="1"/>
  <c r="G73" i="25" l="1"/>
  <c r="J73" i="25" s="1"/>
  <c r="J75" i="25"/>
  <c r="K75" i="25" s="1"/>
  <c r="K73" i="25" s="1"/>
  <c r="K74" i="25" l="1"/>
</calcChain>
</file>

<file path=xl/sharedStrings.xml><?xml version="1.0" encoding="utf-8"?>
<sst xmlns="http://schemas.openxmlformats.org/spreadsheetml/2006/main" count="316" uniqueCount="170">
  <si>
    <t>Ｕ字溝６０本体</t>
  </si>
  <si>
    <t>Ｕ字溝９０本体</t>
  </si>
  <si>
    <t>Ｕ字溝１２０本体</t>
  </si>
  <si>
    <t>Ｕ字溝１５０本体</t>
  </si>
  <si>
    <t>Ｕ字溝１８０本体</t>
  </si>
  <si>
    <t>Ｕ字溝２４０本体</t>
  </si>
  <si>
    <t>Ｕ字溝３００本体</t>
  </si>
  <si>
    <t>Ｕ字溝６０フタ</t>
  </si>
  <si>
    <t>Ｕ字溝９０フタ</t>
  </si>
  <si>
    <t>Ｕ字溝１２０フタ</t>
  </si>
  <si>
    <t>Ｕ字溝１５０フタ</t>
  </si>
  <si>
    <t>Ｕ字溝１８０フタ</t>
  </si>
  <si>
    <t>Ｕ字溝２４０フタ</t>
  </si>
  <si>
    <t>Ｕ字溝３００フタ</t>
  </si>
  <si>
    <t>１ｍＵ字溝６０本体</t>
  </si>
  <si>
    <t>１ｍＵ字溝９０本体</t>
  </si>
  <si>
    <t>１ｍＵ字溝１２０本体</t>
  </si>
  <si>
    <t>１ｍＵ字溝１５０本体</t>
  </si>
  <si>
    <t>溜桝落蓋式１８０本体</t>
  </si>
  <si>
    <t>溜桝落蓋式２４０本体</t>
  </si>
  <si>
    <t>溜桝落蓋式３００本体</t>
  </si>
  <si>
    <t>溜桝落蓋式１８０フタ</t>
  </si>
  <si>
    <t>溜桝落蓋式２４０フタ</t>
  </si>
  <si>
    <t>溜桝落蓋式３００フタ</t>
  </si>
  <si>
    <t>補助桝１８０用</t>
  </si>
  <si>
    <t>補助桝２４０用</t>
  </si>
  <si>
    <t>補助桝３００用</t>
  </si>
  <si>
    <t>歩道上１００</t>
  </si>
  <si>
    <t>歩道上１２０</t>
  </si>
  <si>
    <t>歩道上１５０</t>
  </si>
  <si>
    <t>沓脱石１５０</t>
  </si>
  <si>
    <t>沓脱石２３０</t>
  </si>
  <si>
    <t>車止め５００</t>
  </si>
  <si>
    <t>車止め６００</t>
  </si>
  <si>
    <t>車止め用アンカーピン</t>
  </si>
  <si>
    <t>縁石６００　１００×１００</t>
  </si>
  <si>
    <t>縁石６００　１００×１２０</t>
  </si>
  <si>
    <t>縁石６００　１００×１５０</t>
  </si>
  <si>
    <t>縁石６００　１２０×１２０</t>
  </si>
  <si>
    <t>縁石１０００　１００×１００</t>
  </si>
  <si>
    <t>平板コンクリート ２５０角</t>
  </si>
  <si>
    <t>平板コンクリート ３００角</t>
  </si>
  <si>
    <t>平板コンクリート 長方形</t>
  </si>
  <si>
    <t>束石２×４用　小</t>
  </si>
  <si>
    <t>束石２×４用　大</t>
  </si>
  <si>
    <t>束石ピンコロ　Ｈ－６０</t>
  </si>
  <si>
    <t>束石ピンコロ　Ｈ－１２０</t>
  </si>
  <si>
    <t>束石ピンコロ　Ｈ－１５０</t>
  </si>
  <si>
    <t>羽子板付束石 Ｈ－１２０</t>
  </si>
  <si>
    <t>羽子板付束石 Ｈ－１５０</t>
  </si>
  <si>
    <t>羽子板付束石 Ｈ－１８０</t>
  </si>
  <si>
    <t>羽子板付束石 Ｈ－２４０</t>
  </si>
  <si>
    <t>羽子板付束石 Ｈ－２７０</t>
  </si>
  <si>
    <t>羽子板付束石 Ｈ－３００</t>
  </si>
  <si>
    <t>束石台形　Ｈ－１８０</t>
  </si>
  <si>
    <t>束石台形　Ｈ－２４０</t>
  </si>
  <si>
    <t>束石台形　Ｈ－２７０</t>
  </si>
  <si>
    <t>角型旗立石</t>
  </si>
  <si>
    <t>丸型旗立石</t>
  </si>
  <si>
    <t>単管ベース　小</t>
  </si>
  <si>
    <t>単管ベース　大</t>
  </si>
  <si>
    <t>ラティス支柱用基礎</t>
  </si>
  <si>
    <t>フェンス基礎　１９０角</t>
  </si>
  <si>
    <t>フェンス基礎　Ｈ－３００</t>
  </si>
  <si>
    <t>フェンス基礎　Ｈ－４５０</t>
  </si>
  <si>
    <t>多目的ベース　小</t>
  </si>
  <si>
    <t>多目的ベース　大</t>
  </si>
  <si>
    <t>盆栽棚コンクリート　小</t>
  </si>
  <si>
    <t>盆栽棚コンクリート　中</t>
  </si>
  <si>
    <t>盆栽棚コンクリート　大</t>
  </si>
  <si>
    <t>スペーサー</t>
  </si>
  <si>
    <t>スペーサー５０個入り</t>
  </si>
  <si>
    <t>品名</t>
    <rPh sb="0" eb="2">
      <t>ヒンメイ</t>
    </rPh>
    <phoneticPr fontId="7"/>
  </si>
  <si>
    <t>自社コード</t>
    <rPh sb="0" eb="2">
      <t>ジシャ</t>
    </rPh>
    <phoneticPr fontId="7"/>
  </si>
  <si>
    <t>規格</t>
    <rPh sb="0" eb="2">
      <t>キカク</t>
    </rPh>
    <phoneticPr fontId="7"/>
  </si>
  <si>
    <t>受注合計</t>
    <rPh sb="0" eb="2">
      <t>ジュチュウ</t>
    </rPh>
    <rPh sb="2" eb="4">
      <t>ゴウケイ</t>
    </rPh>
    <phoneticPr fontId="7"/>
  </si>
  <si>
    <t>入庫合計</t>
    <rPh sb="0" eb="2">
      <t>ニュウコ</t>
    </rPh>
    <rPh sb="2" eb="4">
      <t>ゴウケイ</t>
    </rPh>
    <phoneticPr fontId="7"/>
  </si>
  <si>
    <t>在庫数</t>
    <rPh sb="0" eb="2">
      <t>ザイコ</t>
    </rPh>
    <rPh sb="2" eb="3">
      <t>スウ</t>
    </rPh>
    <phoneticPr fontId="7"/>
  </si>
  <si>
    <t>不足数</t>
    <rPh sb="0" eb="2">
      <t>フソク</t>
    </rPh>
    <rPh sb="2" eb="3">
      <t>スウ</t>
    </rPh>
    <phoneticPr fontId="7"/>
  </si>
  <si>
    <t>一旦保留</t>
    <rPh sb="0" eb="4">
      <t>イッタンホリュウ</t>
    </rPh>
    <phoneticPr fontId="7"/>
  </si>
  <si>
    <t>入荷予定</t>
    <rPh sb="0" eb="2">
      <t>ニュウカ</t>
    </rPh>
    <rPh sb="2" eb="4">
      <t>ヨテイ</t>
    </rPh>
    <phoneticPr fontId="7"/>
  </si>
  <si>
    <t>1週間以内</t>
    <phoneticPr fontId="7"/>
  </si>
  <si>
    <t>UH-0606</t>
  </si>
  <si>
    <t>UH-0609</t>
  </si>
  <si>
    <t>UH-0612</t>
  </si>
  <si>
    <t>UH-0615</t>
  </si>
  <si>
    <t>UH-0618</t>
  </si>
  <si>
    <t>UH-0624</t>
  </si>
  <si>
    <t>UH-0630</t>
  </si>
  <si>
    <t>UF-0606</t>
  </si>
  <si>
    <t>UF-0609</t>
  </si>
  <si>
    <t>UF-0612</t>
  </si>
  <si>
    <t>UF-0615</t>
  </si>
  <si>
    <t>UF-0618</t>
  </si>
  <si>
    <t>UF-0624</t>
  </si>
  <si>
    <t>UF-0630</t>
  </si>
  <si>
    <t>UH-1006</t>
  </si>
  <si>
    <t>UH-0610</t>
  </si>
  <si>
    <t>UH-1012</t>
  </si>
  <si>
    <t>UH-1015</t>
  </si>
  <si>
    <t>TH-180</t>
  </si>
  <si>
    <t>TH-240</t>
  </si>
  <si>
    <t>TH-300</t>
  </si>
  <si>
    <t>TF-180</t>
  </si>
  <si>
    <t>TF-240</t>
  </si>
  <si>
    <t>TF-300</t>
  </si>
  <si>
    <t>HM-1810</t>
  </si>
  <si>
    <t>HM-2410</t>
  </si>
  <si>
    <t>HM-3010</t>
  </si>
  <si>
    <t>HA-100</t>
  </si>
  <si>
    <t>HA-120</t>
  </si>
  <si>
    <t>HA-150</t>
  </si>
  <si>
    <t>KI-150</t>
  </si>
  <si>
    <t>KI-230</t>
  </si>
  <si>
    <t>KD-500</t>
  </si>
  <si>
    <t>KD-600</t>
  </si>
  <si>
    <t>KP-175</t>
  </si>
  <si>
    <t>KF-061010</t>
  </si>
  <si>
    <t>KF-061012</t>
  </si>
  <si>
    <t>KF-061015</t>
  </si>
  <si>
    <t>KF-061212</t>
  </si>
  <si>
    <t>KF-101010</t>
  </si>
  <si>
    <t>HK-2525</t>
  </si>
  <si>
    <t>HK-3030</t>
  </si>
  <si>
    <t>HK-3060</t>
  </si>
  <si>
    <t>TK-2420</t>
  </si>
  <si>
    <t>TK-2425</t>
  </si>
  <si>
    <t>TP-060</t>
  </si>
  <si>
    <t>TP-120</t>
  </si>
  <si>
    <t>TP-150</t>
  </si>
  <si>
    <t>HT-120</t>
  </si>
  <si>
    <t>HT-150</t>
  </si>
  <si>
    <t>HT-180</t>
  </si>
  <si>
    <t>HT-240</t>
  </si>
  <si>
    <t>HT-270</t>
  </si>
  <si>
    <t>HT-300</t>
  </si>
  <si>
    <t>TD-180</t>
  </si>
  <si>
    <t>TD-240</t>
  </si>
  <si>
    <t>TD-270</t>
  </si>
  <si>
    <t>KH-270</t>
  </si>
  <si>
    <t>MH-190</t>
  </si>
  <si>
    <t>TB-250</t>
  </si>
  <si>
    <t>TB-290</t>
  </si>
  <si>
    <t>RK-300</t>
  </si>
  <si>
    <t>FK-190</t>
  </si>
  <si>
    <t>FK-300</t>
  </si>
  <si>
    <t>FK-450</t>
  </si>
  <si>
    <t>NB-130</t>
  </si>
  <si>
    <t>NB-165</t>
  </si>
  <si>
    <t>BK-0900</t>
  </si>
  <si>
    <t>BK-1200</t>
  </si>
  <si>
    <t>BK-1500</t>
  </si>
  <si>
    <t>SP-60</t>
  </si>
  <si>
    <t>SP-6050</t>
  </si>
  <si>
    <t>1/26以降</t>
    <rPh sb="4" eb="6">
      <t>イコウ</t>
    </rPh>
    <phoneticPr fontId="7"/>
  </si>
  <si>
    <t>保留解除</t>
    <rPh sb="0" eb="2">
      <t>ホリュウ</t>
    </rPh>
    <rPh sb="2" eb="4">
      <t>カイジョ</t>
    </rPh>
    <phoneticPr fontId="7"/>
  </si>
  <si>
    <t>保留中</t>
    <rPh sb="0" eb="3">
      <t>ホリュウチュウ</t>
    </rPh>
    <phoneticPr fontId="7"/>
  </si>
  <si>
    <t>解除した</t>
    <rPh sb="0" eb="2">
      <t>カイジョ</t>
    </rPh>
    <phoneticPr fontId="7"/>
  </si>
  <si>
    <t>全体</t>
    <rPh sb="0" eb="2">
      <t>ゼンタイ</t>
    </rPh>
    <phoneticPr fontId="7"/>
  </si>
  <si>
    <t>自社コード</t>
    <rPh sb="0" eb="2">
      <t>ジシャ</t>
    </rPh>
    <phoneticPr fontId="10"/>
  </si>
  <si>
    <t>品名</t>
    <rPh sb="0" eb="2">
      <t>ヒンメイ</t>
    </rPh>
    <phoneticPr fontId="10"/>
  </si>
  <si>
    <t>規格</t>
    <rPh sb="0" eb="2">
      <t>キカク</t>
    </rPh>
    <phoneticPr fontId="10"/>
  </si>
  <si>
    <t>総数</t>
    <rPh sb="0" eb="2">
      <t>ソウスウ</t>
    </rPh>
    <phoneticPr fontId="13"/>
  </si>
  <si>
    <t>入庫数量</t>
    <rPh sb="0" eb="2">
      <t>ニュウコ</t>
    </rPh>
    <rPh sb="2" eb="4">
      <t>スウリョウ</t>
    </rPh>
    <phoneticPr fontId="13"/>
  </si>
  <si>
    <t>出荷した数量</t>
    <rPh sb="0" eb="2">
      <t>シュッカ</t>
    </rPh>
    <rPh sb="4" eb="6">
      <t>スウリョウ</t>
    </rPh>
    <phoneticPr fontId="13"/>
  </si>
  <si>
    <t>現在在庫数</t>
    <rPh sb="0" eb="2">
      <t>ゲンザイ</t>
    </rPh>
    <rPh sb="2" eb="5">
      <t>ザイコスウ</t>
    </rPh>
    <phoneticPr fontId="7"/>
  </si>
  <si>
    <t>した数量</t>
    <rPh sb="2" eb="4">
      <t>スウリョウ</t>
    </rPh>
    <phoneticPr fontId="13"/>
  </si>
  <si>
    <t>数量</t>
    <rPh sb="0" eb="2">
      <t>スウリョウ</t>
    </rPh>
    <phoneticPr fontId="7"/>
  </si>
  <si>
    <t>不足数</t>
    <rPh sb="0" eb="2">
      <t>フソク</t>
    </rPh>
    <rPh sb="2" eb="3">
      <t>スウ</t>
    </rPh>
    <phoneticPr fontId="13"/>
  </si>
  <si>
    <t>スペーサーまとめ</t>
    <phoneticPr fontId="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</si>
</sst>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m/d;@"/>
    <numFmt numFmtId="177" formatCode="0_ ;[Red]\-0\ "/>
  </numFmts>
  <fonts count="15" x14ac:knownFonts="1">
    <font>
      <sz val="11"/>
      <color theme="1"/>
      <name val="ＭＳ Ｐゴシック"/>
      <family val="3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6"/>
      <name val="ＭＳ Ｐゴシック"/>
      <family val="3"/>
      <charset val="128"/>
      <scheme val="minor"/>
    </font>
    <font>
      <b/>
      <sz val="11"/>
      <color rgb="FFFF0000"/>
      <name val="ＭＳ Ｐゴシック"/>
      <family val="3"/>
      <charset val="128"/>
      <scheme val="minor"/>
    </font>
    <font>
      <b/>
      <sz val="14"/>
      <color rgb="FFFF0000"/>
      <name val="ＭＳ Ｐゴシック"/>
      <family val="3"/>
      <charset val="128"/>
      <scheme val="minor"/>
    </font>
    <font>
      <sz val="11"/>
      <color rgb="FF006100"/>
      <name val="ＭＳ Ｐゴシック"/>
      <family val="2"/>
      <charset val="128"/>
      <scheme val="minor"/>
    </font>
    <font>
      <sz val="14"/>
      <color theme="1"/>
      <name val="ＭＳ Ｐゴシック"/>
      <family val="3"/>
      <charset val="128"/>
      <scheme val="minor"/>
    </font>
    <font>
      <sz val="14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7">
    <xf numFmtId="0" fontId="0" fillId="0" borderId="0"/>
    <xf numFmtId="0" fontId="6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</cellStyleXfs>
  <cellXfs count="25">
    <xf numFmtId="0" fontId="0" fillId="0" borderId="0" xfId="0"/>
    <xf numFmtId="0" fontId="0" fillId="0" borderId="1" xfId="0" applyNumberFormat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0" fontId="9" fillId="0" borderId="0" xfId="0" applyNumberFormat="1" applyFont="1" applyBorder="1" applyAlignment="1"/>
    <xf numFmtId="0" fontId="0" fillId="0" borderId="1" xfId="0" applyNumberFormat="1" applyFill="1" applyBorder="1" applyAlignment="1">
      <alignment horizontal="center"/>
    </xf>
    <xf numFmtId="0" fontId="8" fillId="0" borderId="0" xfId="0" applyNumberFormat="1" applyFont="1" applyBorder="1" applyAlignment="1"/>
    <xf numFmtId="0" fontId="0" fillId="0" borderId="1" xfId="0" applyNumberFormat="1" applyBorder="1" applyAlignment="1">
      <alignment horizontal="center" wrapText="1"/>
    </xf>
    <xf numFmtId="0" fontId="0" fillId="0" borderId="0" xfId="0" applyNumberFormat="1" applyBorder="1"/>
    <xf numFmtId="0" fontId="0" fillId="0" borderId="0" xfId="0" applyBorder="1"/>
    <xf numFmtId="0" fontId="0" fillId="0" borderId="0" xfId="0" applyNumberFormat="1" applyFill="1" applyBorder="1" applyAlignment="1">
      <alignment horizontal="center"/>
    </xf>
    <xf numFmtId="0" fontId="0" fillId="0" borderId="0" xfId="0" applyNumberFormat="1" applyBorder="1" applyAlignment="1">
      <alignment horizontal="center" wrapText="1"/>
    </xf>
    <xf numFmtId="176" fontId="0" fillId="0" borderId="1" xfId="0" applyNumberFormat="1" applyBorder="1" applyAlignment="1">
      <alignment horizontal="center"/>
    </xf>
    <xf numFmtId="177" fontId="0" fillId="0" borderId="0" xfId="0" applyNumberFormat="1" applyBorder="1" applyAlignment="1">
      <alignment horizontal="center"/>
    </xf>
    <xf numFmtId="177" fontId="0" fillId="0" borderId="1" xfId="0" applyNumberFormat="1" applyBorder="1" applyAlignment="1">
      <alignment horizontal="center"/>
    </xf>
    <xf numFmtId="177" fontId="0" fillId="0" borderId="0" xfId="0" applyNumberFormat="1" applyFill="1" applyBorder="1" applyAlignment="1">
      <alignment horizontal="center"/>
    </xf>
    <xf numFmtId="176" fontId="0" fillId="0" borderId="0" xfId="0" applyNumberFormat="1" applyBorder="1" applyAlignment="1">
      <alignment horizontal="center"/>
    </xf>
    <xf numFmtId="176" fontId="0" fillId="0" borderId="0" xfId="0" applyNumberFormat="1" applyBorder="1"/>
    <xf numFmtId="0" fontId="11" fillId="0" borderId="0" xfId="6" applyFont="1">
      <alignment vertical="center"/>
    </xf>
    <xf numFmtId="0" fontId="11" fillId="0" borderId="1" xfId="6" applyFont="1" applyBorder="1">
      <alignment vertical="center"/>
    </xf>
    <xf numFmtId="0" fontId="11" fillId="2" borderId="1" xfId="6" applyFont="1" applyFill="1" applyBorder="1">
      <alignment vertical="center"/>
    </xf>
    <xf numFmtId="0" fontId="11" fillId="3" borderId="1" xfId="6" applyFont="1" applyFill="1" applyBorder="1">
      <alignment vertical="center"/>
    </xf>
    <xf numFmtId="0" fontId="12" fillId="0" borderId="1" xfId="6" applyFont="1" applyBorder="1">
      <alignment vertical="center"/>
    </xf>
    <xf numFmtId="0" fontId="11" fillId="0" borderId="2" xfId="6" applyFont="1" applyFill="1" applyBorder="1">
      <alignment vertical="center"/>
    </xf>
    <xf numFmtId="0" fontId="11" fillId="0" borderId="1" xfId="6" applyFont="1" applyFill="1" applyBorder="1">
      <alignment vertical="center"/>
    </xf>
    <xf numFmtId="0" fontId="12" fillId="2" borderId="1" xfId="6" applyFont="1" applyFill="1" applyBorder="1">
      <alignment vertical="center"/>
    </xf>
  </cellXfs>
  <cellStyles count="7">
    <cellStyle name="標準" xfId="0" builtinId="0"/>
    <cellStyle name="標準 2" xfId="1"/>
    <cellStyle name="標準 3" xfId="2"/>
    <cellStyle name="標準 4" xfId="3"/>
    <cellStyle name="標準 5" xfId="4"/>
    <cellStyle name="標準 6" xfId="5"/>
    <cellStyle name="標準 7" xfId="6"/>
  </cellStyles>
  <dxfs count="2"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2" defaultTableStyle="TableStyleMedium2" defaultPivotStyle="PivotStyleMedium9">
    <tableStyle name="MySqlDefault" pivot="0" table="0" count="0"/>
    <tableStyle name="Noストライプ格子あり" pivot="0" count="1">
      <tableStyleElement type="wholeTable" dxfId="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1</xdr:col>
          <xdr:colOff>628650</xdr:colOff>
          <xdr:row>0</xdr:row>
          <xdr:rowOff>209550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104775</xdr:colOff>
          <xdr:row>0</xdr:row>
          <xdr:rowOff>57150</xdr:rowOff>
        </xdr:from>
        <xdr:to>
          <xdr:col>1</xdr:col>
          <xdr:colOff>933450</xdr:colOff>
          <xdr:row>0</xdr:row>
          <xdr:rowOff>266700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K75"/>
  <sheetViews>
    <sheetView tabSelected="1" workbookViewId="0">
      <pane xSplit="1" ySplit="2" topLeftCell="B3" activePane="bottomRight" state="frozen"/>
      <selection pane="topRight" activeCell="B1" sqref="B1"/>
      <selection pane="bottomLeft" activeCell="A2" sqref="A2"/>
      <selection pane="bottomRight" activeCell="A2" sqref="A2"/>
    </sheetView>
  </sheetViews>
  <sheetFormatPr defaultRowHeight="17.25" x14ac:dyDescent="0.15"/>
  <cols>
    <col min="1" max="1" width="12.5" style="17" bestFit="1" customWidth="1"/>
    <col min="2" max="2" width="28.5" style="17" bestFit="1" customWidth="1"/>
    <col min="3" max="3" width="13.375" style="17" bestFit="1" customWidth="1"/>
    <col min="4" max="4" width="6.75" style="17" bestFit="1" customWidth="1"/>
    <col min="5" max="5" width="11.625" style="17" bestFit="1" customWidth="1"/>
    <col min="6" max="6" width="15.875" style="17" bestFit="1" customWidth="1"/>
    <col min="7" max="7" width="14" style="17" bestFit="1" customWidth="1"/>
    <col min="8" max="8" width="11.375" style="17" bestFit="1" customWidth="1"/>
    <col min="9" max="9" width="8.875" style="17" bestFit="1" customWidth="1"/>
    <col min="10" max="10" width="10.625" style="17" bestFit="1" customWidth="1"/>
    <col min="11" max="11" width="9.25" style="17" bestFit="1" customWidth="1"/>
    <col min="12" max="16384" width="9" style="17"/>
  </cols>
  <sheetData>
    <row r="1" spans="1:11" ht="25.5" customHeight="1" x14ac:dyDescent="0.15">
      <c r="E1" s="18" t="s">
        <v>154</v>
      </c>
      <c r="F1" s="18" t="s">
        <v>154</v>
      </c>
      <c r="G1" s="19"/>
      <c r="H1" s="18" t="s">
        <v>155</v>
      </c>
      <c r="I1" s="18" t="s">
        <v>156</v>
      </c>
      <c r="J1" s="20" t="s">
        <v>157</v>
      </c>
      <c r="K1" s="19" t="s">
        <v>158</v>
      </c>
    </row>
    <row r="2" spans="1:11" x14ac:dyDescent="0.15">
      <c r="A2" s="21" t="s">
        <v>159</v>
      </c>
      <c r="B2" s="21" t="s">
        <v>160</v>
      </c>
      <c r="C2" s="21" t="s">
        <v>161</v>
      </c>
      <c r="D2" s="22" t="s">
        <v>162</v>
      </c>
      <c r="E2" s="18" t="s">
        <v>163</v>
      </c>
      <c r="F2" s="23" t="s">
        <v>164</v>
      </c>
      <c r="G2" s="19" t="s">
        <v>165</v>
      </c>
      <c r="H2" s="18" t="s">
        <v>166</v>
      </c>
      <c r="I2" s="18" t="s">
        <v>167</v>
      </c>
      <c r="J2" s="20" t="s">
        <v>168</v>
      </c>
      <c r="K2" s="19" t="s">
        <v>78</v>
      </c>
    </row>
    <row r="3" spans="1:11" x14ac:dyDescent="0.15">
      <c r="A3" s="21">
        <v>100201</v>
      </c>
      <c r="B3" s="21" t="s">
        <v>0</v>
      </c>
      <c r="C3" s="21" t="s">
        <v>82</v>
      </c>
      <c r="D3" s="21">
        <v>36</v>
      </c>
      <c r="E3" s="18">
        <v>2088</v>
      </c>
      <c r="F3" s="21">
        <v>2088</v>
      </c>
      <c r="G3" s="24">
        <f>D3+E3-F3</f>
        <v>36</v>
      </c>
      <c r="H3" s="18">
        <v>36</v>
      </c>
      <c r="I3" s="18">
        <v>36</v>
      </c>
      <c r="J3" s="20">
        <f>G3-H3</f>
        <v>0</v>
      </c>
      <c r="K3" s="19">
        <f>J3-I3</f>
        <v>-36</v>
      </c>
    </row>
    <row r="4" spans="1:11" x14ac:dyDescent="0.15">
      <c r="A4" s="21">
        <v>100202</v>
      </c>
      <c r="B4" s="21" t="s">
        <v>1</v>
      </c>
      <c r="C4" s="21" t="s">
        <v>83</v>
      </c>
      <c r="D4" s="21">
        <v>27</v>
      </c>
      <c r="E4" s="18">
        <v>3510</v>
      </c>
      <c r="F4" s="21">
        <v>3375</v>
      </c>
      <c r="G4" s="24">
        <f t="shared" ref="G4:G67" si="0">D4+E4-F4</f>
        <v>162</v>
      </c>
      <c r="H4" s="18">
        <v>108</v>
      </c>
      <c r="I4" s="18"/>
      <c r="J4" s="20">
        <f t="shared" ref="J4:J67" si="1">G4-H4</f>
        <v>54</v>
      </c>
      <c r="K4" s="19">
        <f t="shared" ref="K4:K67" si="2">J4-I4</f>
        <v>54</v>
      </c>
    </row>
    <row r="5" spans="1:11" x14ac:dyDescent="0.15">
      <c r="A5" s="21">
        <v>100203</v>
      </c>
      <c r="B5" s="21" t="s">
        <v>2</v>
      </c>
      <c r="C5" s="21" t="s">
        <v>84</v>
      </c>
      <c r="D5" s="21">
        <v>42</v>
      </c>
      <c r="E5" s="18">
        <v>2856</v>
      </c>
      <c r="F5" s="21">
        <v>2803</v>
      </c>
      <c r="G5" s="24">
        <f t="shared" si="0"/>
        <v>95</v>
      </c>
      <c r="H5" s="18">
        <v>21</v>
      </c>
      <c r="I5" s="18"/>
      <c r="J5" s="20">
        <f t="shared" si="1"/>
        <v>74</v>
      </c>
      <c r="K5" s="19">
        <f t="shared" si="2"/>
        <v>74</v>
      </c>
    </row>
    <row r="6" spans="1:11" x14ac:dyDescent="0.15">
      <c r="A6" s="21">
        <v>100204</v>
      </c>
      <c r="B6" s="21" t="s">
        <v>3</v>
      </c>
      <c r="C6" s="21" t="s">
        <v>85</v>
      </c>
      <c r="D6" s="21">
        <v>560</v>
      </c>
      <c r="E6" s="18">
        <v>1860</v>
      </c>
      <c r="F6" s="21">
        <v>2310</v>
      </c>
      <c r="G6" s="24">
        <f t="shared" si="0"/>
        <v>110</v>
      </c>
      <c r="H6" s="18">
        <v>70</v>
      </c>
      <c r="I6" s="18"/>
      <c r="J6" s="20">
        <f t="shared" si="1"/>
        <v>40</v>
      </c>
      <c r="K6" s="19">
        <f t="shared" si="2"/>
        <v>40</v>
      </c>
    </row>
    <row r="7" spans="1:11" x14ac:dyDescent="0.15">
      <c r="A7" s="21">
        <v>100205</v>
      </c>
      <c r="B7" s="21" t="s">
        <v>4</v>
      </c>
      <c r="C7" s="21" t="s">
        <v>86</v>
      </c>
      <c r="D7" s="21">
        <v>70</v>
      </c>
      <c r="E7" s="18">
        <v>2528</v>
      </c>
      <c r="F7" s="21">
        <v>2458</v>
      </c>
      <c r="G7" s="24">
        <f t="shared" si="0"/>
        <v>140</v>
      </c>
      <c r="H7" s="18">
        <v>140</v>
      </c>
      <c r="I7" s="18">
        <v>10</v>
      </c>
      <c r="J7" s="20">
        <f t="shared" si="1"/>
        <v>0</v>
      </c>
      <c r="K7" s="19">
        <f t="shared" si="2"/>
        <v>-10</v>
      </c>
    </row>
    <row r="8" spans="1:11" x14ac:dyDescent="0.15">
      <c r="A8" s="21">
        <v>100206</v>
      </c>
      <c r="B8" s="21" t="s">
        <v>5</v>
      </c>
      <c r="C8" s="21" t="s">
        <v>87</v>
      </c>
      <c r="D8" s="21">
        <v>3</v>
      </c>
      <c r="E8" s="18">
        <v>1303</v>
      </c>
      <c r="F8" s="21">
        <v>1287</v>
      </c>
      <c r="G8" s="24">
        <f t="shared" si="0"/>
        <v>19</v>
      </c>
      <c r="H8" s="18">
        <v>15</v>
      </c>
      <c r="I8" s="18">
        <v>35</v>
      </c>
      <c r="J8" s="20">
        <f t="shared" si="1"/>
        <v>4</v>
      </c>
      <c r="K8" s="19">
        <f t="shared" si="2"/>
        <v>-31</v>
      </c>
    </row>
    <row r="9" spans="1:11" x14ac:dyDescent="0.15">
      <c r="A9" s="21">
        <v>100207</v>
      </c>
      <c r="B9" s="21" t="s">
        <v>6</v>
      </c>
      <c r="C9" s="21" t="s">
        <v>88</v>
      </c>
      <c r="D9" s="21">
        <v>48</v>
      </c>
      <c r="E9" s="18">
        <v>288</v>
      </c>
      <c r="F9" s="21">
        <v>306</v>
      </c>
      <c r="G9" s="24">
        <f t="shared" si="0"/>
        <v>30</v>
      </c>
      <c r="H9" s="18">
        <v>25</v>
      </c>
      <c r="I9" s="18"/>
      <c r="J9" s="20">
        <f t="shared" si="1"/>
        <v>5</v>
      </c>
      <c r="K9" s="19">
        <f t="shared" si="2"/>
        <v>5</v>
      </c>
    </row>
    <row r="10" spans="1:11" x14ac:dyDescent="0.15">
      <c r="A10" s="21">
        <v>100208</v>
      </c>
      <c r="B10" s="21" t="s">
        <v>7</v>
      </c>
      <c r="C10" s="21" t="s">
        <v>89</v>
      </c>
      <c r="D10" s="21">
        <v>121</v>
      </c>
      <c r="E10" s="18">
        <v>760</v>
      </c>
      <c r="F10" s="21">
        <v>881</v>
      </c>
      <c r="G10" s="24">
        <f t="shared" si="0"/>
        <v>0</v>
      </c>
      <c r="H10" s="18"/>
      <c r="I10" s="18">
        <v>80</v>
      </c>
      <c r="J10" s="20">
        <f t="shared" si="1"/>
        <v>0</v>
      </c>
      <c r="K10" s="19">
        <f t="shared" si="2"/>
        <v>-80</v>
      </c>
    </row>
    <row r="11" spans="1:11" x14ac:dyDescent="0.15">
      <c r="A11" s="21">
        <v>100209</v>
      </c>
      <c r="B11" s="21" t="s">
        <v>8</v>
      </c>
      <c r="C11" s="21" t="s">
        <v>90</v>
      </c>
      <c r="D11" s="21">
        <v>3</v>
      </c>
      <c r="E11" s="18">
        <v>868</v>
      </c>
      <c r="F11" s="21">
        <v>858</v>
      </c>
      <c r="G11" s="24">
        <f t="shared" si="0"/>
        <v>13</v>
      </c>
      <c r="H11" s="18">
        <v>10</v>
      </c>
      <c r="I11" s="18">
        <v>32</v>
      </c>
      <c r="J11" s="20">
        <f t="shared" si="1"/>
        <v>3</v>
      </c>
      <c r="K11" s="19">
        <f t="shared" si="2"/>
        <v>-29</v>
      </c>
    </row>
    <row r="12" spans="1:11" x14ac:dyDescent="0.15">
      <c r="A12" s="21">
        <v>100210</v>
      </c>
      <c r="B12" s="21" t="s">
        <v>9</v>
      </c>
      <c r="C12" s="21" t="s">
        <v>91</v>
      </c>
      <c r="D12" s="21">
        <v>94</v>
      </c>
      <c r="E12" s="18">
        <v>751</v>
      </c>
      <c r="F12" s="21">
        <v>843</v>
      </c>
      <c r="G12" s="24">
        <f t="shared" si="0"/>
        <v>2</v>
      </c>
      <c r="H12" s="18"/>
      <c r="I12" s="18">
        <v>110</v>
      </c>
      <c r="J12" s="20">
        <f t="shared" si="1"/>
        <v>2</v>
      </c>
      <c r="K12" s="19">
        <f t="shared" si="2"/>
        <v>-108</v>
      </c>
    </row>
    <row r="13" spans="1:11" x14ac:dyDescent="0.15">
      <c r="A13" s="21">
        <v>100211</v>
      </c>
      <c r="B13" s="21" t="s">
        <v>10</v>
      </c>
      <c r="C13" s="21" t="s">
        <v>92</v>
      </c>
      <c r="D13" s="21">
        <v>208</v>
      </c>
      <c r="E13" s="18">
        <v>1965</v>
      </c>
      <c r="F13" s="21">
        <v>2161</v>
      </c>
      <c r="G13" s="24">
        <f t="shared" si="0"/>
        <v>12</v>
      </c>
      <c r="H13" s="18">
        <v>10</v>
      </c>
      <c r="I13" s="18">
        <v>70</v>
      </c>
      <c r="J13" s="20">
        <f t="shared" si="1"/>
        <v>2</v>
      </c>
      <c r="K13" s="19">
        <f t="shared" si="2"/>
        <v>-68</v>
      </c>
    </row>
    <row r="14" spans="1:11" x14ac:dyDescent="0.15">
      <c r="A14" s="21">
        <v>100212</v>
      </c>
      <c r="B14" s="21" t="s">
        <v>11</v>
      </c>
      <c r="C14" s="21" t="s">
        <v>93</v>
      </c>
      <c r="D14" s="21">
        <v>260</v>
      </c>
      <c r="E14" s="18">
        <v>1224</v>
      </c>
      <c r="F14" s="21">
        <v>1474</v>
      </c>
      <c r="G14" s="24">
        <f t="shared" si="0"/>
        <v>10</v>
      </c>
      <c r="H14" s="18">
        <v>10</v>
      </c>
      <c r="I14" s="18">
        <v>70</v>
      </c>
      <c r="J14" s="20">
        <f t="shared" si="1"/>
        <v>0</v>
      </c>
      <c r="K14" s="19">
        <f t="shared" si="2"/>
        <v>-70</v>
      </c>
    </row>
    <row r="15" spans="1:11" x14ac:dyDescent="0.15">
      <c r="A15" s="21">
        <v>100213</v>
      </c>
      <c r="B15" s="21" t="s">
        <v>12</v>
      </c>
      <c r="C15" s="21" t="s">
        <v>94</v>
      </c>
      <c r="D15" s="21">
        <v>385</v>
      </c>
      <c r="E15" s="18">
        <v>1225</v>
      </c>
      <c r="F15" s="21">
        <v>1563</v>
      </c>
      <c r="G15" s="24">
        <f t="shared" si="0"/>
        <v>47</v>
      </c>
      <c r="H15" s="18">
        <v>45</v>
      </c>
      <c r="I15" s="18">
        <v>55</v>
      </c>
      <c r="J15" s="20">
        <f t="shared" si="1"/>
        <v>2</v>
      </c>
      <c r="K15" s="19">
        <f t="shared" si="2"/>
        <v>-53</v>
      </c>
    </row>
    <row r="16" spans="1:11" x14ac:dyDescent="0.15">
      <c r="A16" s="21">
        <v>100214</v>
      </c>
      <c r="B16" s="21" t="s">
        <v>13</v>
      </c>
      <c r="C16" s="21" t="s">
        <v>95</v>
      </c>
      <c r="D16" s="21">
        <v>362</v>
      </c>
      <c r="E16" s="18">
        <v>1344</v>
      </c>
      <c r="F16" s="21">
        <v>1423</v>
      </c>
      <c r="G16" s="24">
        <f t="shared" si="0"/>
        <v>283</v>
      </c>
      <c r="H16" s="18">
        <v>53</v>
      </c>
      <c r="I16" s="18"/>
      <c r="J16" s="20">
        <f t="shared" si="1"/>
        <v>230</v>
      </c>
      <c r="K16" s="19">
        <f t="shared" si="2"/>
        <v>230</v>
      </c>
    </row>
    <row r="17" spans="1:11" x14ac:dyDescent="0.15">
      <c r="A17" s="21">
        <v>100215</v>
      </c>
      <c r="B17" s="21" t="s">
        <v>14</v>
      </c>
      <c r="C17" s="21" t="s">
        <v>96</v>
      </c>
      <c r="D17" s="21">
        <v>66</v>
      </c>
      <c r="E17" s="18">
        <v>2478</v>
      </c>
      <c r="F17" s="21">
        <v>2376</v>
      </c>
      <c r="G17" s="24">
        <f t="shared" si="0"/>
        <v>168</v>
      </c>
      <c r="H17" s="18">
        <v>165</v>
      </c>
      <c r="I17" s="18"/>
      <c r="J17" s="20">
        <f t="shared" si="1"/>
        <v>3</v>
      </c>
      <c r="K17" s="19">
        <f t="shared" si="2"/>
        <v>3</v>
      </c>
    </row>
    <row r="18" spans="1:11" x14ac:dyDescent="0.15">
      <c r="A18" s="21">
        <v>100216</v>
      </c>
      <c r="B18" s="21" t="s">
        <v>15</v>
      </c>
      <c r="C18" s="21" t="s">
        <v>97</v>
      </c>
      <c r="D18" s="21">
        <v>27</v>
      </c>
      <c r="E18" s="18">
        <v>6372</v>
      </c>
      <c r="F18" s="21">
        <v>6165</v>
      </c>
      <c r="G18" s="24">
        <f t="shared" si="0"/>
        <v>234</v>
      </c>
      <c r="H18" s="18">
        <v>216</v>
      </c>
      <c r="I18" s="18">
        <v>108</v>
      </c>
      <c r="J18" s="20">
        <f t="shared" si="1"/>
        <v>18</v>
      </c>
      <c r="K18" s="19">
        <f t="shared" si="2"/>
        <v>-90</v>
      </c>
    </row>
    <row r="19" spans="1:11" x14ac:dyDescent="0.15">
      <c r="A19" s="21">
        <v>100217</v>
      </c>
      <c r="B19" s="21" t="s">
        <v>16</v>
      </c>
      <c r="C19" s="21" t="s">
        <v>98</v>
      </c>
      <c r="D19" s="21">
        <v>63</v>
      </c>
      <c r="E19" s="18">
        <v>3234</v>
      </c>
      <c r="F19" s="21">
        <v>3192</v>
      </c>
      <c r="G19" s="24">
        <f t="shared" si="0"/>
        <v>105</v>
      </c>
      <c r="H19" s="18">
        <v>105</v>
      </c>
      <c r="I19" s="18">
        <v>126</v>
      </c>
      <c r="J19" s="20">
        <f t="shared" si="1"/>
        <v>0</v>
      </c>
      <c r="K19" s="19">
        <f t="shared" si="2"/>
        <v>-126</v>
      </c>
    </row>
    <row r="20" spans="1:11" x14ac:dyDescent="0.15">
      <c r="A20" s="21">
        <v>100218</v>
      </c>
      <c r="B20" s="21" t="s">
        <v>17</v>
      </c>
      <c r="C20" s="21" t="s">
        <v>99</v>
      </c>
      <c r="D20" s="21">
        <v>0</v>
      </c>
      <c r="E20" s="18">
        <v>2310</v>
      </c>
      <c r="F20" s="21">
        <v>2225</v>
      </c>
      <c r="G20" s="24">
        <f t="shared" si="0"/>
        <v>85</v>
      </c>
      <c r="H20" s="18">
        <v>80</v>
      </c>
      <c r="I20" s="18">
        <v>50</v>
      </c>
      <c r="J20" s="20">
        <f t="shared" si="1"/>
        <v>5</v>
      </c>
      <c r="K20" s="19">
        <f t="shared" si="2"/>
        <v>-45</v>
      </c>
    </row>
    <row r="21" spans="1:11" x14ac:dyDescent="0.15">
      <c r="A21" s="21">
        <v>100219</v>
      </c>
      <c r="B21" s="21" t="s">
        <v>18</v>
      </c>
      <c r="C21" s="21" t="s">
        <v>100</v>
      </c>
      <c r="D21" s="21">
        <v>7</v>
      </c>
      <c r="E21" s="18">
        <v>736</v>
      </c>
      <c r="F21" s="21">
        <v>708</v>
      </c>
      <c r="G21" s="24">
        <f t="shared" si="0"/>
        <v>35</v>
      </c>
      <c r="H21" s="18">
        <v>34</v>
      </c>
      <c r="I21" s="18">
        <v>129</v>
      </c>
      <c r="J21" s="20">
        <f t="shared" si="1"/>
        <v>1</v>
      </c>
      <c r="K21" s="19">
        <f t="shared" si="2"/>
        <v>-128</v>
      </c>
    </row>
    <row r="22" spans="1:11" x14ac:dyDescent="0.15">
      <c r="A22" s="21">
        <v>100220</v>
      </c>
      <c r="B22" s="21" t="s">
        <v>19</v>
      </c>
      <c r="C22" s="21" t="s">
        <v>101</v>
      </c>
      <c r="D22" s="21">
        <v>11</v>
      </c>
      <c r="E22" s="18">
        <v>1094</v>
      </c>
      <c r="F22" s="21">
        <v>1050</v>
      </c>
      <c r="G22" s="24">
        <f t="shared" si="0"/>
        <v>55</v>
      </c>
      <c r="H22" s="18">
        <v>41</v>
      </c>
      <c r="I22" s="18"/>
      <c r="J22" s="20">
        <f t="shared" si="1"/>
        <v>14</v>
      </c>
      <c r="K22" s="19">
        <f t="shared" si="2"/>
        <v>14</v>
      </c>
    </row>
    <row r="23" spans="1:11" x14ac:dyDescent="0.15">
      <c r="A23" s="21">
        <v>100221</v>
      </c>
      <c r="B23" s="21" t="s">
        <v>20</v>
      </c>
      <c r="C23" s="21" t="s">
        <v>102</v>
      </c>
      <c r="D23" s="21">
        <v>7</v>
      </c>
      <c r="E23" s="18">
        <v>640</v>
      </c>
      <c r="F23" s="21">
        <v>617</v>
      </c>
      <c r="G23" s="24">
        <f t="shared" si="0"/>
        <v>30</v>
      </c>
      <c r="H23" s="18">
        <v>30</v>
      </c>
      <c r="I23" s="18">
        <v>18</v>
      </c>
      <c r="J23" s="20">
        <f t="shared" si="1"/>
        <v>0</v>
      </c>
      <c r="K23" s="19">
        <f t="shared" si="2"/>
        <v>-18</v>
      </c>
    </row>
    <row r="24" spans="1:11" x14ac:dyDescent="0.15">
      <c r="A24" s="21">
        <v>100222</v>
      </c>
      <c r="B24" s="21" t="s">
        <v>21</v>
      </c>
      <c r="C24" s="21" t="s">
        <v>103</v>
      </c>
      <c r="D24" s="21">
        <v>524</v>
      </c>
      <c r="E24" s="18">
        <v>873</v>
      </c>
      <c r="F24" s="21">
        <v>1294</v>
      </c>
      <c r="G24" s="24">
        <f t="shared" si="0"/>
        <v>103</v>
      </c>
      <c r="H24" s="18">
        <v>61</v>
      </c>
      <c r="I24" s="18"/>
      <c r="J24" s="20">
        <f t="shared" si="1"/>
        <v>42</v>
      </c>
      <c r="K24" s="19">
        <f t="shared" si="2"/>
        <v>42</v>
      </c>
    </row>
    <row r="25" spans="1:11" x14ac:dyDescent="0.15">
      <c r="A25" s="21">
        <v>100223</v>
      </c>
      <c r="B25" s="21" t="s">
        <v>22</v>
      </c>
      <c r="C25" s="21" t="s">
        <v>104</v>
      </c>
      <c r="D25" s="21">
        <v>143</v>
      </c>
      <c r="E25" s="18">
        <v>1090</v>
      </c>
      <c r="F25" s="21">
        <v>1112</v>
      </c>
      <c r="G25" s="24">
        <f t="shared" si="0"/>
        <v>121</v>
      </c>
      <c r="H25" s="18">
        <v>120</v>
      </c>
      <c r="I25" s="18">
        <v>6</v>
      </c>
      <c r="J25" s="20">
        <f t="shared" si="1"/>
        <v>1</v>
      </c>
      <c r="K25" s="19">
        <f t="shared" si="2"/>
        <v>-5</v>
      </c>
    </row>
    <row r="26" spans="1:11" x14ac:dyDescent="0.15">
      <c r="A26" s="21">
        <v>100224</v>
      </c>
      <c r="B26" s="21" t="s">
        <v>23</v>
      </c>
      <c r="C26" s="21" t="s">
        <v>105</v>
      </c>
      <c r="D26" s="21">
        <v>100</v>
      </c>
      <c r="E26" s="18">
        <v>899</v>
      </c>
      <c r="F26" s="21">
        <v>930</v>
      </c>
      <c r="G26" s="24">
        <f t="shared" si="0"/>
        <v>69</v>
      </c>
      <c r="H26" s="18">
        <v>68</v>
      </c>
      <c r="I26" s="18"/>
      <c r="J26" s="20">
        <f t="shared" si="1"/>
        <v>1</v>
      </c>
      <c r="K26" s="19">
        <f t="shared" si="2"/>
        <v>1</v>
      </c>
    </row>
    <row r="27" spans="1:11" x14ac:dyDescent="0.15">
      <c r="A27" s="21">
        <v>100225</v>
      </c>
      <c r="B27" s="21" t="s">
        <v>24</v>
      </c>
      <c r="C27" s="21" t="s">
        <v>106</v>
      </c>
      <c r="D27" s="21">
        <v>0</v>
      </c>
      <c r="E27" s="18">
        <v>229</v>
      </c>
      <c r="F27" s="21">
        <v>182</v>
      </c>
      <c r="G27" s="24">
        <f t="shared" si="0"/>
        <v>47</v>
      </c>
      <c r="H27" s="18">
        <v>27</v>
      </c>
      <c r="I27" s="18"/>
      <c r="J27" s="20">
        <f t="shared" si="1"/>
        <v>20</v>
      </c>
      <c r="K27" s="19">
        <f t="shared" si="2"/>
        <v>20</v>
      </c>
    </row>
    <row r="28" spans="1:11" x14ac:dyDescent="0.15">
      <c r="A28" s="21">
        <v>100226</v>
      </c>
      <c r="B28" s="21" t="s">
        <v>25</v>
      </c>
      <c r="C28" s="21" t="s">
        <v>107</v>
      </c>
      <c r="D28" s="21">
        <v>20</v>
      </c>
      <c r="E28" s="18">
        <v>260</v>
      </c>
      <c r="F28" s="21">
        <v>275</v>
      </c>
      <c r="G28" s="24">
        <f t="shared" si="0"/>
        <v>5</v>
      </c>
      <c r="H28" s="18">
        <v>4</v>
      </c>
      <c r="I28" s="18">
        <v>9</v>
      </c>
      <c r="J28" s="20">
        <f t="shared" si="1"/>
        <v>1</v>
      </c>
      <c r="K28" s="19">
        <f t="shared" si="2"/>
        <v>-8</v>
      </c>
    </row>
    <row r="29" spans="1:11" x14ac:dyDescent="0.15">
      <c r="A29" s="21">
        <v>100227</v>
      </c>
      <c r="B29" s="21" t="s">
        <v>26</v>
      </c>
      <c r="C29" s="21" t="s">
        <v>108</v>
      </c>
      <c r="D29" s="21">
        <v>2</v>
      </c>
      <c r="E29" s="18">
        <v>180</v>
      </c>
      <c r="F29" s="21">
        <v>181</v>
      </c>
      <c r="G29" s="24">
        <f t="shared" si="0"/>
        <v>1</v>
      </c>
      <c r="H29" s="18"/>
      <c r="I29" s="18">
        <v>36</v>
      </c>
      <c r="J29" s="20">
        <f t="shared" si="1"/>
        <v>1</v>
      </c>
      <c r="K29" s="19">
        <f t="shared" si="2"/>
        <v>-35</v>
      </c>
    </row>
    <row r="30" spans="1:11" x14ac:dyDescent="0.15">
      <c r="A30" s="21">
        <v>100228</v>
      </c>
      <c r="B30" s="21" t="s">
        <v>27</v>
      </c>
      <c r="C30" s="21" t="s">
        <v>109</v>
      </c>
      <c r="D30" s="21">
        <v>32</v>
      </c>
      <c r="E30" s="18">
        <v>324</v>
      </c>
      <c r="F30" s="21">
        <v>345</v>
      </c>
      <c r="G30" s="24">
        <f t="shared" si="0"/>
        <v>11</v>
      </c>
      <c r="H30" s="18">
        <v>9</v>
      </c>
      <c r="I30" s="18">
        <v>6</v>
      </c>
      <c r="J30" s="20">
        <f t="shared" si="1"/>
        <v>2</v>
      </c>
      <c r="K30" s="19">
        <f t="shared" si="2"/>
        <v>-4</v>
      </c>
    </row>
    <row r="31" spans="1:11" x14ac:dyDescent="0.15">
      <c r="A31" s="21">
        <v>100229</v>
      </c>
      <c r="B31" s="21" t="s">
        <v>28</v>
      </c>
      <c r="C31" s="21" t="s">
        <v>110</v>
      </c>
      <c r="D31" s="21">
        <v>38</v>
      </c>
      <c r="E31" s="18">
        <v>252</v>
      </c>
      <c r="F31" s="21">
        <v>221</v>
      </c>
      <c r="G31" s="24">
        <f t="shared" si="0"/>
        <v>69</v>
      </c>
      <c r="H31" s="18">
        <v>13</v>
      </c>
      <c r="I31" s="18"/>
      <c r="J31" s="20">
        <f t="shared" si="1"/>
        <v>56</v>
      </c>
      <c r="K31" s="19">
        <f t="shared" si="2"/>
        <v>56</v>
      </c>
    </row>
    <row r="32" spans="1:11" x14ac:dyDescent="0.15">
      <c r="A32" s="21">
        <v>100230</v>
      </c>
      <c r="B32" s="21" t="s">
        <v>29</v>
      </c>
      <c r="C32" s="21" t="s">
        <v>111</v>
      </c>
      <c r="D32" s="21">
        <v>26</v>
      </c>
      <c r="E32" s="18">
        <v>264</v>
      </c>
      <c r="F32" s="21">
        <v>179</v>
      </c>
      <c r="G32" s="24">
        <f t="shared" si="0"/>
        <v>111</v>
      </c>
      <c r="H32" s="18">
        <v>11</v>
      </c>
      <c r="I32" s="18"/>
      <c r="J32" s="20">
        <f t="shared" si="1"/>
        <v>100</v>
      </c>
      <c r="K32" s="19">
        <f t="shared" si="2"/>
        <v>100</v>
      </c>
    </row>
    <row r="33" spans="1:11" x14ac:dyDescent="0.15">
      <c r="A33" s="21">
        <v>100231</v>
      </c>
      <c r="B33" s="21" t="s">
        <v>30</v>
      </c>
      <c r="C33" s="21" t="s">
        <v>112</v>
      </c>
      <c r="D33" s="21">
        <v>12</v>
      </c>
      <c r="E33" s="18">
        <v>96</v>
      </c>
      <c r="F33" s="21">
        <v>101</v>
      </c>
      <c r="G33" s="24">
        <f t="shared" si="0"/>
        <v>7</v>
      </c>
      <c r="H33" s="18">
        <v>2</v>
      </c>
      <c r="I33" s="18"/>
      <c r="J33" s="20">
        <f t="shared" si="1"/>
        <v>5</v>
      </c>
      <c r="K33" s="19">
        <f t="shared" si="2"/>
        <v>5</v>
      </c>
    </row>
    <row r="34" spans="1:11" x14ac:dyDescent="0.15">
      <c r="A34" s="21">
        <v>100232</v>
      </c>
      <c r="B34" s="21" t="s">
        <v>31</v>
      </c>
      <c r="C34" s="21" t="s">
        <v>113</v>
      </c>
      <c r="D34" s="21">
        <v>14</v>
      </c>
      <c r="E34" s="18">
        <v>88</v>
      </c>
      <c r="F34" s="21">
        <v>52</v>
      </c>
      <c r="G34" s="24">
        <f t="shared" si="0"/>
        <v>50</v>
      </c>
      <c r="H34" s="18"/>
      <c r="I34" s="18"/>
      <c r="J34" s="20">
        <f t="shared" si="1"/>
        <v>50</v>
      </c>
      <c r="K34" s="19">
        <f t="shared" si="2"/>
        <v>50</v>
      </c>
    </row>
    <row r="35" spans="1:11" x14ac:dyDescent="0.15">
      <c r="A35" s="21">
        <v>100233</v>
      </c>
      <c r="B35" s="21" t="s">
        <v>32</v>
      </c>
      <c r="C35" s="21" t="s">
        <v>114</v>
      </c>
      <c r="D35" s="21">
        <v>0</v>
      </c>
      <c r="E35" s="18">
        <v>5860</v>
      </c>
      <c r="F35" s="21">
        <v>5740</v>
      </c>
      <c r="G35" s="24">
        <f t="shared" si="0"/>
        <v>120</v>
      </c>
      <c r="H35" s="18">
        <v>100</v>
      </c>
      <c r="I35" s="18">
        <v>320</v>
      </c>
      <c r="J35" s="20">
        <f t="shared" si="1"/>
        <v>20</v>
      </c>
      <c r="K35" s="19">
        <f t="shared" si="2"/>
        <v>-300</v>
      </c>
    </row>
    <row r="36" spans="1:11" x14ac:dyDescent="0.15">
      <c r="A36" s="21">
        <v>100234</v>
      </c>
      <c r="B36" s="21" t="s">
        <v>33</v>
      </c>
      <c r="C36" s="21" t="s">
        <v>115</v>
      </c>
      <c r="D36" s="21">
        <v>0</v>
      </c>
      <c r="E36" s="18">
        <v>1740</v>
      </c>
      <c r="F36" s="21">
        <v>1710</v>
      </c>
      <c r="G36" s="24">
        <f t="shared" si="0"/>
        <v>30</v>
      </c>
      <c r="H36" s="18">
        <v>30</v>
      </c>
      <c r="I36" s="18">
        <v>120</v>
      </c>
      <c r="J36" s="20">
        <f t="shared" si="1"/>
        <v>0</v>
      </c>
      <c r="K36" s="19">
        <f t="shared" si="2"/>
        <v>-120</v>
      </c>
    </row>
    <row r="37" spans="1:11" x14ac:dyDescent="0.15">
      <c r="A37" s="21">
        <v>100235</v>
      </c>
      <c r="B37" s="21" t="s">
        <v>34</v>
      </c>
      <c r="C37" s="21" t="s">
        <v>116</v>
      </c>
      <c r="D37" s="21">
        <v>120</v>
      </c>
      <c r="E37" s="18">
        <v>14200</v>
      </c>
      <c r="F37" s="21">
        <v>9460</v>
      </c>
      <c r="G37" s="24">
        <f t="shared" si="0"/>
        <v>4860</v>
      </c>
      <c r="H37" s="18">
        <v>500</v>
      </c>
      <c r="I37" s="18"/>
      <c r="J37" s="20">
        <f t="shared" si="1"/>
        <v>4360</v>
      </c>
      <c r="K37" s="19">
        <f t="shared" si="2"/>
        <v>4360</v>
      </c>
    </row>
    <row r="38" spans="1:11" x14ac:dyDescent="0.15">
      <c r="A38" s="21">
        <v>100236</v>
      </c>
      <c r="B38" s="21" t="s">
        <v>35</v>
      </c>
      <c r="C38" s="21" t="s">
        <v>117</v>
      </c>
      <c r="D38" s="21">
        <v>1395</v>
      </c>
      <c r="E38" s="18">
        <v>15705</v>
      </c>
      <c r="F38" s="21">
        <v>16605</v>
      </c>
      <c r="G38" s="24">
        <f t="shared" si="0"/>
        <v>495</v>
      </c>
      <c r="H38" s="18">
        <v>495</v>
      </c>
      <c r="I38" s="18">
        <v>270</v>
      </c>
      <c r="J38" s="20">
        <f t="shared" si="1"/>
        <v>0</v>
      </c>
      <c r="K38" s="19">
        <f t="shared" si="2"/>
        <v>-270</v>
      </c>
    </row>
    <row r="39" spans="1:11" x14ac:dyDescent="0.15">
      <c r="A39" s="21">
        <v>100237</v>
      </c>
      <c r="B39" s="21" t="s">
        <v>36</v>
      </c>
      <c r="C39" s="21" t="s">
        <v>118</v>
      </c>
      <c r="D39" s="21">
        <v>468</v>
      </c>
      <c r="E39" s="18">
        <v>2592</v>
      </c>
      <c r="F39" s="21">
        <v>2863</v>
      </c>
      <c r="G39" s="24">
        <f t="shared" si="0"/>
        <v>197</v>
      </c>
      <c r="H39" s="18">
        <v>180</v>
      </c>
      <c r="I39" s="18">
        <v>72</v>
      </c>
      <c r="J39" s="20">
        <f t="shared" si="1"/>
        <v>17</v>
      </c>
      <c r="K39" s="19">
        <f t="shared" si="2"/>
        <v>-55</v>
      </c>
    </row>
    <row r="40" spans="1:11" x14ac:dyDescent="0.15">
      <c r="A40" s="21">
        <v>100238</v>
      </c>
      <c r="B40" s="21" t="s">
        <v>37</v>
      </c>
      <c r="C40" s="21" t="s">
        <v>119</v>
      </c>
      <c r="D40" s="21">
        <v>459</v>
      </c>
      <c r="E40" s="18">
        <v>2133</v>
      </c>
      <c r="F40" s="21">
        <v>2484</v>
      </c>
      <c r="G40" s="24">
        <f t="shared" si="0"/>
        <v>108</v>
      </c>
      <c r="H40" s="18">
        <v>108</v>
      </c>
      <c r="I40" s="18"/>
      <c r="J40" s="20">
        <f t="shared" si="1"/>
        <v>0</v>
      </c>
      <c r="K40" s="19">
        <f t="shared" si="2"/>
        <v>0</v>
      </c>
    </row>
    <row r="41" spans="1:11" x14ac:dyDescent="0.15">
      <c r="A41" s="21">
        <v>100239</v>
      </c>
      <c r="B41" s="21" t="s">
        <v>38</v>
      </c>
      <c r="C41" s="21" t="s">
        <v>120</v>
      </c>
      <c r="D41" s="21">
        <v>160</v>
      </c>
      <c r="E41" s="18">
        <v>832</v>
      </c>
      <c r="F41" s="21">
        <v>608</v>
      </c>
      <c r="G41" s="24">
        <f t="shared" si="0"/>
        <v>384</v>
      </c>
      <c r="H41" s="18">
        <v>32</v>
      </c>
      <c r="I41" s="18"/>
      <c r="J41" s="20">
        <f t="shared" si="1"/>
        <v>352</v>
      </c>
      <c r="K41" s="19">
        <f t="shared" si="2"/>
        <v>352</v>
      </c>
    </row>
    <row r="42" spans="1:11" x14ac:dyDescent="0.15">
      <c r="A42" s="21">
        <v>100240</v>
      </c>
      <c r="B42" s="21" t="s">
        <v>39</v>
      </c>
      <c r="C42" s="21" t="s">
        <v>121</v>
      </c>
      <c r="D42" s="21">
        <v>60</v>
      </c>
      <c r="E42" s="18">
        <v>840</v>
      </c>
      <c r="F42" s="21">
        <v>780</v>
      </c>
      <c r="G42" s="24">
        <f t="shared" si="0"/>
        <v>120</v>
      </c>
      <c r="H42" s="18">
        <v>120</v>
      </c>
      <c r="I42" s="18"/>
      <c r="J42" s="20">
        <f t="shared" si="1"/>
        <v>0</v>
      </c>
      <c r="K42" s="19">
        <f t="shared" si="2"/>
        <v>0</v>
      </c>
    </row>
    <row r="43" spans="1:11" x14ac:dyDescent="0.15">
      <c r="A43" s="21">
        <v>100241</v>
      </c>
      <c r="B43" s="21" t="s">
        <v>40</v>
      </c>
      <c r="C43" s="21" t="s">
        <v>122</v>
      </c>
      <c r="D43" s="21">
        <v>80</v>
      </c>
      <c r="E43" s="18">
        <v>1840</v>
      </c>
      <c r="F43" s="21">
        <v>1280</v>
      </c>
      <c r="G43" s="24">
        <f t="shared" si="0"/>
        <v>640</v>
      </c>
      <c r="H43" s="18"/>
      <c r="I43" s="18"/>
      <c r="J43" s="20">
        <f t="shared" si="1"/>
        <v>640</v>
      </c>
      <c r="K43" s="19">
        <f t="shared" si="2"/>
        <v>640</v>
      </c>
    </row>
    <row r="44" spans="1:11" x14ac:dyDescent="0.15">
      <c r="A44" s="21">
        <v>100242</v>
      </c>
      <c r="B44" s="21" t="s">
        <v>41</v>
      </c>
      <c r="C44" s="21" t="s">
        <v>123</v>
      </c>
      <c r="D44" s="21">
        <v>144</v>
      </c>
      <c r="E44" s="18">
        <v>8928</v>
      </c>
      <c r="F44" s="21">
        <v>8592</v>
      </c>
      <c r="G44" s="24">
        <f t="shared" si="0"/>
        <v>480</v>
      </c>
      <c r="H44" s="18">
        <v>432</v>
      </c>
      <c r="I44" s="18"/>
      <c r="J44" s="20">
        <f t="shared" si="1"/>
        <v>48</v>
      </c>
      <c r="K44" s="19">
        <f t="shared" si="2"/>
        <v>48</v>
      </c>
    </row>
    <row r="45" spans="1:11" x14ac:dyDescent="0.15">
      <c r="A45" s="21">
        <v>100243</v>
      </c>
      <c r="B45" s="21" t="s">
        <v>42</v>
      </c>
      <c r="C45" s="21" t="s">
        <v>124</v>
      </c>
      <c r="D45" s="21">
        <v>720</v>
      </c>
      <c r="E45" s="18">
        <v>4284</v>
      </c>
      <c r="F45" s="21">
        <v>4878</v>
      </c>
      <c r="G45" s="24">
        <f t="shared" si="0"/>
        <v>126</v>
      </c>
      <c r="H45" s="18">
        <v>120</v>
      </c>
      <c r="I45" s="18">
        <v>264</v>
      </c>
      <c r="J45" s="20">
        <f t="shared" si="1"/>
        <v>6</v>
      </c>
      <c r="K45" s="19">
        <f t="shared" si="2"/>
        <v>-258</v>
      </c>
    </row>
    <row r="46" spans="1:11" x14ac:dyDescent="0.15">
      <c r="A46" s="21">
        <v>100244</v>
      </c>
      <c r="B46" s="21" t="s">
        <v>43</v>
      </c>
      <c r="C46" s="21" t="s">
        <v>125</v>
      </c>
      <c r="D46" s="21">
        <v>0</v>
      </c>
      <c r="E46" s="18">
        <v>484</v>
      </c>
      <c r="F46" s="21">
        <v>406</v>
      </c>
      <c r="G46" s="24">
        <f t="shared" si="0"/>
        <v>78</v>
      </c>
      <c r="H46" s="18">
        <v>10</v>
      </c>
      <c r="I46" s="18"/>
      <c r="J46" s="20">
        <f t="shared" si="1"/>
        <v>68</v>
      </c>
      <c r="K46" s="19">
        <f t="shared" si="2"/>
        <v>68</v>
      </c>
    </row>
    <row r="47" spans="1:11" x14ac:dyDescent="0.15">
      <c r="A47" s="21">
        <v>100245</v>
      </c>
      <c r="B47" s="21" t="s">
        <v>44</v>
      </c>
      <c r="C47" s="21" t="s">
        <v>126</v>
      </c>
      <c r="D47" s="21">
        <v>0</v>
      </c>
      <c r="E47" s="18">
        <v>480</v>
      </c>
      <c r="F47" s="21">
        <v>386</v>
      </c>
      <c r="G47" s="24">
        <f t="shared" si="0"/>
        <v>94</v>
      </c>
      <c r="H47" s="18">
        <v>10</v>
      </c>
      <c r="I47" s="18"/>
      <c r="J47" s="20">
        <f t="shared" si="1"/>
        <v>84</v>
      </c>
      <c r="K47" s="19">
        <f t="shared" si="2"/>
        <v>84</v>
      </c>
    </row>
    <row r="48" spans="1:11" x14ac:dyDescent="0.15">
      <c r="A48" s="21">
        <v>100246</v>
      </c>
      <c r="B48" s="21" t="s">
        <v>45</v>
      </c>
      <c r="C48" s="21" t="s">
        <v>127</v>
      </c>
      <c r="D48" s="21">
        <v>384</v>
      </c>
      <c r="E48" s="18">
        <v>3544</v>
      </c>
      <c r="F48" s="21">
        <v>3576</v>
      </c>
      <c r="G48" s="24">
        <f t="shared" si="0"/>
        <v>352</v>
      </c>
      <c r="H48" s="18">
        <v>240</v>
      </c>
      <c r="I48" s="18">
        <v>720</v>
      </c>
      <c r="J48" s="20">
        <f t="shared" si="1"/>
        <v>112</v>
      </c>
      <c r="K48" s="19">
        <f t="shared" si="2"/>
        <v>-608</v>
      </c>
    </row>
    <row r="49" spans="1:11" x14ac:dyDescent="0.15">
      <c r="A49" s="21">
        <v>100247</v>
      </c>
      <c r="B49" s="21" t="s">
        <v>46</v>
      </c>
      <c r="C49" s="21" t="s">
        <v>128</v>
      </c>
      <c r="D49" s="21">
        <v>64</v>
      </c>
      <c r="E49" s="18">
        <v>19120</v>
      </c>
      <c r="F49" s="21">
        <v>17224</v>
      </c>
      <c r="G49" s="24">
        <f t="shared" si="0"/>
        <v>1960</v>
      </c>
      <c r="H49" s="18">
        <v>660</v>
      </c>
      <c r="I49" s="18"/>
      <c r="J49" s="20">
        <f t="shared" si="1"/>
        <v>1300</v>
      </c>
      <c r="K49" s="19">
        <f t="shared" si="2"/>
        <v>1300</v>
      </c>
    </row>
    <row r="50" spans="1:11" x14ac:dyDescent="0.15">
      <c r="A50" s="21">
        <v>100248</v>
      </c>
      <c r="B50" s="21" t="s">
        <v>47</v>
      </c>
      <c r="C50" s="21" t="s">
        <v>129</v>
      </c>
      <c r="D50" s="21">
        <v>48</v>
      </c>
      <c r="E50" s="18">
        <v>9384</v>
      </c>
      <c r="F50" s="21">
        <v>9084</v>
      </c>
      <c r="G50" s="24">
        <f t="shared" si="0"/>
        <v>348</v>
      </c>
      <c r="H50" s="18">
        <v>300</v>
      </c>
      <c r="I50" s="18">
        <v>600</v>
      </c>
      <c r="J50" s="20">
        <f t="shared" si="1"/>
        <v>48</v>
      </c>
      <c r="K50" s="19">
        <f t="shared" si="2"/>
        <v>-552</v>
      </c>
    </row>
    <row r="51" spans="1:11" x14ac:dyDescent="0.15">
      <c r="A51" s="21">
        <v>100249</v>
      </c>
      <c r="B51" s="21" t="s">
        <v>48</v>
      </c>
      <c r="C51" s="21" t="s">
        <v>130</v>
      </c>
      <c r="D51" s="21">
        <v>704</v>
      </c>
      <c r="E51" s="18">
        <v>16896</v>
      </c>
      <c r="F51" s="21">
        <v>17214</v>
      </c>
      <c r="G51" s="24">
        <f t="shared" si="0"/>
        <v>386</v>
      </c>
      <c r="H51" s="18">
        <v>384</v>
      </c>
      <c r="I51" s="18">
        <v>128</v>
      </c>
      <c r="J51" s="20">
        <f t="shared" si="1"/>
        <v>2</v>
      </c>
      <c r="K51" s="19">
        <f t="shared" si="2"/>
        <v>-126</v>
      </c>
    </row>
    <row r="52" spans="1:11" x14ac:dyDescent="0.15">
      <c r="A52" s="21">
        <v>100250</v>
      </c>
      <c r="B52" s="21" t="s">
        <v>49</v>
      </c>
      <c r="C52" s="21" t="s">
        <v>131</v>
      </c>
      <c r="D52" s="21">
        <v>192</v>
      </c>
      <c r="E52" s="18">
        <v>7072</v>
      </c>
      <c r="F52" s="21">
        <v>6239</v>
      </c>
      <c r="G52" s="24">
        <f t="shared" si="0"/>
        <v>1025</v>
      </c>
      <c r="H52" s="18">
        <v>160</v>
      </c>
      <c r="I52" s="18"/>
      <c r="J52" s="20">
        <f t="shared" si="1"/>
        <v>865</v>
      </c>
      <c r="K52" s="19">
        <f t="shared" si="2"/>
        <v>865</v>
      </c>
    </row>
    <row r="53" spans="1:11" x14ac:dyDescent="0.15">
      <c r="A53" s="21">
        <v>100251</v>
      </c>
      <c r="B53" s="21" t="s">
        <v>50</v>
      </c>
      <c r="C53" s="21" t="s">
        <v>132</v>
      </c>
      <c r="D53" s="21">
        <v>144</v>
      </c>
      <c r="E53" s="18">
        <v>7216</v>
      </c>
      <c r="F53" s="21">
        <v>7262</v>
      </c>
      <c r="G53" s="24">
        <f t="shared" si="0"/>
        <v>98</v>
      </c>
      <c r="H53" s="18">
        <v>96</v>
      </c>
      <c r="I53" s="18">
        <v>96</v>
      </c>
      <c r="J53" s="20">
        <f t="shared" si="1"/>
        <v>2</v>
      </c>
      <c r="K53" s="19">
        <f t="shared" si="2"/>
        <v>-94</v>
      </c>
    </row>
    <row r="54" spans="1:11" x14ac:dyDescent="0.15">
      <c r="A54" s="21">
        <v>100252</v>
      </c>
      <c r="B54" s="21" t="s">
        <v>51</v>
      </c>
      <c r="C54" s="21" t="s">
        <v>133</v>
      </c>
      <c r="D54" s="21">
        <v>72</v>
      </c>
      <c r="E54" s="18">
        <v>3204</v>
      </c>
      <c r="F54" s="21">
        <v>3147</v>
      </c>
      <c r="G54" s="24">
        <f t="shared" si="0"/>
        <v>129</v>
      </c>
      <c r="H54" s="18">
        <v>120</v>
      </c>
      <c r="I54" s="18">
        <v>156</v>
      </c>
      <c r="J54" s="20">
        <f t="shared" si="1"/>
        <v>9</v>
      </c>
      <c r="K54" s="19">
        <f t="shared" si="2"/>
        <v>-147</v>
      </c>
    </row>
    <row r="55" spans="1:11" x14ac:dyDescent="0.15">
      <c r="A55" s="21">
        <v>100253</v>
      </c>
      <c r="B55" s="21" t="s">
        <v>52</v>
      </c>
      <c r="C55" s="21" t="s">
        <v>134</v>
      </c>
      <c r="D55" s="21">
        <v>108</v>
      </c>
      <c r="E55" s="18">
        <v>2832</v>
      </c>
      <c r="F55" s="21">
        <v>2370</v>
      </c>
      <c r="G55" s="24">
        <f t="shared" si="0"/>
        <v>570</v>
      </c>
      <c r="H55" s="18">
        <v>84</v>
      </c>
      <c r="I55" s="18"/>
      <c r="J55" s="20">
        <f t="shared" si="1"/>
        <v>486</v>
      </c>
      <c r="K55" s="19">
        <f t="shared" si="2"/>
        <v>486</v>
      </c>
    </row>
    <row r="56" spans="1:11" x14ac:dyDescent="0.15">
      <c r="A56" s="21">
        <v>100254</v>
      </c>
      <c r="B56" s="21" t="s">
        <v>53</v>
      </c>
      <c r="C56" s="21" t="s">
        <v>135</v>
      </c>
      <c r="D56" s="21">
        <v>36</v>
      </c>
      <c r="E56" s="18">
        <v>648</v>
      </c>
      <c r="F56" s="21">
        <v>516</v>
      </c>
      <c r="G56" s="24">
        <f t="shared" si="0"/>
        <v>168</v>
      </c>
      <c r="H56" s="18">
        <v>12</v>
      </c>
      <c r="I56" s="18"/>
      <c r="J56" s="20">
        <f t="shared" si="1"/>
        <v>156</v>
      </c>
      <c r="K56" s="19">
        <f t="shared" si="2"/>
        <v>156</v>
      </c>
    </row>
    <row r="57" spans="1:11" x14ac:dyDescent="0.15">
      <c r="A57" s="21">
        <v>100255</v>
      </c>
      <c r="B57" s="21" t="s">
        <v>54</v>
      </c>
      <c r="C57" s="21" t="s">
        <v>136</v>
      </c>
      <c r="D57" s="21">
        <v>0</v>
      </c>
      <c r="E57" s="18">
        <v>2832</v>
      </c>
      <c r="F57" s="21">
        <v>2616</v>
      </c>
      <c r="G57" s="24">
        <f t="shared" si="0"/>
        <v>216</v>
      </c>
      <c r="H57" s="18">
        <v>192</v>
      </c>
      <c r="I57" s="18">
        <v>96</v>
      </c>
      <c r="J57" s="20">
        <f t="shared" si="1"/>
        <v>24</v>
      </c>
      <c r="K57" s="19">
        <f t="shared" si="2"/>
        <v>-72</v>
      </c>
    </row>
    <row r="58" spans="1:11" x14ac:dyDescent="0.15">
      <c r="A58" s="21">
        <v>100256</v>
      </c>
      <c r="B58" s="21" t="s">
        <v>55</v>
      </c>
      <c r="C58" s="21" t="s">
        <v>137</v>
      </c>
      <c r="D58" s="21">
        <v>0</v>
      </c>
      <c r="E58" s="18">
        <v>1016</v>
      </c>
      <c r="F58" s="21">
        <v>752</v>
      </c>
      <c r="G58" s="24">
        <f t="shared" si="0"/>
        <v>264</v>
      </c>
      <c r="H58" s="18"/>
      <c r="I58" s="18"/>
      <c r="J58" s="20">
        <f t="shared" si="1"/>
        <v>264</v>
      </c>
      <c r="K58" s="19">
        <f t="shared" si="2"/>
        <v>264</v>
      </c>
    </row>
    <row r="59" spans="1:11" x14ac:dyDescent="0.15">
      <c r="A59" s="21">
        <v>100257</v>
      </c>
      <c r="B59" s="21" t="s">
        <v>56</v>
      </c>
      <c r="C59" s="21" t="s">
        <v>138</v>
      </c>
      <c r="D59" s="21">
        <v>0</v>
      </c>
      <c r="E59" s="18">
        <v>560</v>
      </c>
      <c r="F59" s="21">
        <v>392</v>
      </c>
      <c r="G59" s="24">
        <f t="shared" si="0"/>
        <v>168</v>
      </c>
      <c r="H59" s="18"/>
      <c r="I59" s="18"/>
      <c r="J59" s="20">
        <f t="shared" si="1"/>
        <v>168</v>
      </c>
      <c r="K59" s="19">
        <f t="shared" si="2"/>
        <v>168</v>
      </c>
    </row>
    <row r="60" spans="1:11" x14ac:dyDescent="0.15">
      <c r="A60" s="21">
        <v>100258</v>
      </c>
      <c r="B60" s="21" t="s">
        <v>57</v>
      </c>
      <c r="C60" s="21" t="s">
        <v>139</v>
      </c>
      <c r="D60" s="21">
        <v>95</v>
      </c>
      <c r="E60" s="18">
        <v>5460</v>
      </c>
      <c r="F60" s="21">
        <v>5340</v>
      </c>
      <c r="G60" s="24">
        <f t="shared" si="0"/>
        <v>215</v>
      </c>
      <c r="H60" s="18">
        <v>180</v>
      </c>
      <c r="I60" s="18"/>
      <c r="J60" s="20">
        <f t="shared" si="1"/>
        <v>35</v>
      </c>
      <c r="K60" s="19">
        <f t="shared" si="2"/>
        <v>35</v>
      </c>
    </row>
    <row r="61" spans="1:11" x14ac:dyDescent="0.15">
      <c r="A61" s="21">
        <v>100259</v>
      </c>
      <c r="B61" s="21" t="s">
        <v>58</v>
      </c>
      <c r="C61" s="21" t="s">
        <v>140</v>
      </c>
      <c r="D61" s="21">
        <v>0</v>
      </c>
      <c r="E61" s="18">
        <v>1224</v>
      </c>
      <c r="F61" s="21">
        <v>1149</v>
      </c>
      <c r="G61" s="24">
        <f t="shared" si="0"/>
        <v>75</v>
      </c>
      <c r="H61" s="18">
        <v>54</v>
      </c>
      <c r="I61" s="18"/>
      <c r="J61" s="20">
        <f t="shared" si="1"/>
        <v>21</v>
      </c>
      <c r="K61" s="19">
        <f t="shared" si="2"/>
        <v>21</v>
      </c>
    </row>
    <row r="62" spans="1:11" x14ac:dyDescent="0.15">
      <c r="A62" s="21">
        <v>100260</v>
      </c>
      <c r="B62" s="21" t="s">
        <v>59</v>
      </c>
      <c r="C62" s="21" t="s">
        <v>141</v>
      </c>
      <c r="D62" s="21">
        <v>90</v>
      </c>
      <c r="E62" s="18">
        <v>2550</v>
      </c>
      <c r="F62" s="21">
        <v>2325</v>
      </c>
      <c r="G62" s="24">
        <f t="shared" si="0"/>
        <v>315</v>
      </c>
      <c r="H62" s="18">
        <v>300</v>
      </c>
      <c r="I62" s="18"/>
      <c r="J62" s="20">
        <f t="shared" si="1"/>
        <v>15</v>
      </c>
      <c r="K62" s="19">
        <f t="shared" si="2"/>
        <v>15</v>
      </c>
    </row>
    <row r="63" spans="1:11" x14ac:dyDescent="0.15">
      <c r="A63" s="21">
        <v>100261</v>
      </c>
      <c r="B63" s="21" t="s">
        <v>60</v>
      </c>
      <c r="C63" s="21" t="s">
        <v>142</v>
      </c>
      <c r="D63" s="21">
        <v>0</v>
      </c>
      <c r="E63" s="18">
        <v>304</v>
      </c>
      <c r="F63" s="21">
        <v>234</v>
      </c>
      <c r="G63" s="24">
        <f t="shared" si="0"/>
        <v>70</v>
      </c>
      <c r="H63" s="18">
        <v>54</v>
      </c>
      <c r="I63" s="18">
        <v>36</v>
      </c>
      <c r="J63" s="20">
        <f t="shared" si="1"/>
        <v>16</v>
      </c>
      <c r="K63" s="19">
        <f t="shared" si="2"/>
        <v>-20</v>
      </c>
    </row>
    <row r="64" spans="1:11" x14ac:dyDescent="0.15">
      <c r="A64" s="21">
        <v>100262</v>
      </c>
      <c r="B64" s="21" t="s">
        <v>61</v>
      </c>
      <c r="C64" s="21" t="s">
        <v>143</v>
      </c>
      <c r="D64" s="21">
        <v>0</v>
      </c>
      <c r="E64" s="18">
        <v>580</v>
      </c>
      <c r="F64" s="21">
        <v>550</v>
      </c>
      <c r="G64" s="24">
        <f t="shared" si="0"/>
        <v>30</v>
      </c>
      <c r="H64" s="18"/>
      <c r="I64" s="18"/>
      <c r="J64" s="20">
        <f t="shared" si="1"/>
        <v>30</v>
      </c>
      <c r="K64" s="19">
        <f t="shared" si="2"/>
        <v>30</v>
      </c>
    </row>
    <row r="65" spans="1:11" x14ac:dyDescent="0.15">
      <c r="A65" s="21">
        <v>100263</v>
      </c>
      <c r="B65" s="21" t="s">
        <v>62</v>
      </c>
      <c r="C65" s="21" t="s">
        <v>144</v>
      </c>
      <c r="D65" s="21">
        <v>135</v>
      </c>
      <c r="E65" s="18">
        <v>2996</v>
      </c>
      <c r="F65" s="21">
        <v>2915</v>
      </c>
      <c r="G65" s="24">
        <f t="shared" si="0"/>
        <v>216</v>
      </c>
      <c r="H65" s="18">
        <v>81</v>
      </c>
      <c r="I65" s="18"/>
      <c r="J65" s="20">
        <f t="shared" si="1"/>
        <v>135</v>
      </c>
      <c r="K65" s="19">
        <f t="shared" si="2"/>
        <v>135</v>
      </c>
    </row>
    <row r="66" spans="1:11" x14ac:dyDescent="0.15">
      <c r="A66" s="21">
        <v>100264</v>
      </c>
      <c r="B66" s="21" t="s">
        <v>63</v>
      </c>
      <c r="C66" s="21" t="s">
        <v>145</v>
      </c>
      <c r="D66" s="21">
        <v>0</v>
      </c>
      <c r="E66" s="18">
        <v>3108</v>
      </c>
      <c r="F66" s="21">
        <v>2802</v>
      </c>
      <c r="G66" s="24">
        <f t="shared" si="0"/>
        <v>306</v>
      </c>
      <c r="H66" s="18">
        <v>168</v>
      </c>
      <c r="I66" s="18"/>
      <c r="J66" s="20">
        <f t="shared" si="1"/>
        <v>138</v>
      </c>
      <c r="K66" s="19">
        <f t="shared" si="2"/>
        <v>138</v>
      </c>
    </row>
    <row r="67" spans="1:11" x14ac:dyDescent="0.15">
      <c r="A67" s="21">
        <v>100265</v>
      </c>
      <c r="B67" s="21" t="s">
        <v>64</v>
      </c>
      <c r="C67" s="21" t="s">
        <v>146</v>
      </c>
      <c r="D67" s="21">
        <v>0</v>
      </c>
      <c r="E67" s="18">
        <v>1597</v>
      </c>
      <c r="F67" s="21">
        <v>1505</v>
      </c>
      <c r="G67" s="24">
        <f t="shared" si="0"/>
        <v>92</v>
      </c>
      <c r="H67" s="18">
        <v>84</v>
      </c>
      <c r="I67" s="18">
        <v>228</v>
      </c>
      <c r="J67" s="20">
        <f t="shared" si="1"/>
        <v>8</v>
      </c>
      <c r="K67" s="19">
        <f t="shared" si="2"/>
        <v>-220</v>
      </c>
    </row>
    <row r="68" spans="1:11" x14ac:dyDescent="0.15">
      <c r="A68" s="21">
        <v>100266</v>
      </c>
      <c r="B68" s="21" t="s">
        <v>65</v>
      </c>
      <c r="C68" s="21" t="s">
        <v>147</v>
      </c>
      <c r="D68" s="21">
        <v>0</v>
      </c>
      <c r="E68" s="18">
        <v>1000</v>
      </c>
      <c r="F68" s="21">
        <v>632</v>
      </c>
      <c r="G68" s="24">
        <f t="shared" ref="G68:G75" si="3">D68+E68-F68</f>
        <v>368</v>
      </c>
      <c r="H68" s="18">
        <v>20</v>
      </c>
      <c r="I68" s="18"/>
      <c r="J68" s="20">
        <f t="shared" ref="J68:J75" si="4">G68-H68</f>
        <v>348</v>
      </c>
      <c r="K68" s="19">
        <f t="shared" ref="K68:K75" si="5">J68-I68</f>
        <v>348</v>
      </c>
    </row>
    <row r="69" spans="1:11" x14ac:dyDescent="0.15">
      <c r="A69" s="21">
        <v>100267</v>
      </c>
      <c r="B69" s="21" t="s">
        <v>66</v>
      </c>
      <c r="C69" s="21" t="s">
        <v>148</v>
      </c>
      <c r="D69" s="21">
        <v>0</v>
      </c>
      <c r="E69" s="18">
        <v>336</v>
      </c>
      <c r="F69" s="21">
        <v>294</v>
      </c>
      <c r="G69" s="24">
        <f t="shared" si="3"/>
        <v>42</v>
      </c>
      <c r="H69" s="18">
        <v>40</v>
      </c>
      <c r="I69" s="18">
        <v>30</v>
      </c>
      <c r="J69" s="20">
        <f t="shared" si="4"/>
        <v>2</v>
      </c>
      <c r="K69" s="19">
        <f t="shared" si="5"/>
        <v>-28</v>
      </c>
    </row>
    <row r="70" spans="1:11" x14ac:dyDescent="0.15">
      <c r="A70" s="21">
        <v>100268</v>
      </c>
      <c r="B70" s="21" t="s">
        <v>67</v>
      </c>
      <c r="C70" s="21" t="s">
        <v>149</v>
      </c>
      <c r="D70" s="21">
        <v>0</v>
      </c>
      <c r="E70" s="18">
        <v>280</v>
      </c>
      <c r="F70" s="21">
        <v>231</v>
      </c>
      <c r="G70" s="24">
        <f t="shared" si="3"/>
        <v>49</v>
      </c>
      <c r="H70" s="18">
        <v>24</v>
      </c>
      <c r="I70" s="18"/>
      <c r="J70" s="20">
        <f t="shared" si="4"/>
        <v>25</v>
      </c>
      <c r="K70" s="19">
        <f t="shared" si="5"/>
        <v>25</v>
      </c>
    </row>
    <row r="71" spans="1:11" x14ac:dyDescent="0.15">
      <c r="A71" s="21">
        <v>100269</v>
      </c>
      <c r="B71" s="21" t="s">
        <v>68</v>
      </c>
      <c r="C71" s="21" t="s">
        <v>150</v>
      </c>
      <c r="D71" s="21">
        <v>0</v>
      </c>
      <c r="E71" s="18">
        <v>284</v>
      </c>
      <c r="F71" s="21">
        <v>223</v>
      </c>
      <c r="G71" s="24">
        <f t="shared" si="3"/>
        <v>61</v>
      </c>
      <c r="H71" s="18">
        <v>16</v>
      </c>
      <c r="I71" s="18"/>
      <c r="J71" s="20">
        <f t="shared" si="4"/>
        <v>45</v>
      </c>
      <c r="K71" s="19">
        <f t="shared" si="5"/>
        <v>45</v>
      </c>
    </row>
    <row r="72" spans="1:11" x14ac:dyDescent="0.15">
      <c r="A72" s="21">
        <v>100270</v>
      </c>
      <c r="B72" s="21" t="s">
        <v>69</v>
      </c>
      <c r="C72" s="21" t="s">
        <v>151</v>
      </c>
      <c r="D72" s="21">
        <v>0</v>
      </c>
      <c r="E72" s="18">
        <v>251</v>
      </c>
      <c r="F72" s="21">
        <v>249</v>
      </c>
      <c r="G72" s="24">
        <f t="shared" si="3"/>
        <v>2</v>
      </c>
      <c r="H72" s="18"/>
      <c r="I72" s="18">
        <v>26</v>
      </c>
      <c r="J72" s="20">
        <f t="shared" si="4"/>
        <v>2</v>
      </c>
      <c r="K72" s="19">
        <f t="shared" si="5"/>
        <v>-24</v>
      </c>
    </row>
    <row r="73" spans="1:11" x14ac:dyDescent="0.15">
      <c r="A73" s="21">
        <v>100271</v>
      </c>
      <c r="B73" s="21" t="s">
        <v>70</v>
      </c>
      <c r="C73" s="21" t="s">
        <v>152</v>
      </c>
      <c r="D73" s="21">
        <v>2080</v>
      </c>
      <c r="E73" s="18">
        <v>10160</v>
      </c>
      <c r="F73" s="21">
        <v>2400</v>
      </c>
      <c r="G73" s="24">
        <f>G75</f>
        <v>4840</v>
      </c>
      <c r="H73" s="18"/>
      <c r="I73" s="18"/>
      <c r="J73" s="20">
        <f t="shared" si="4"/>
        <v>4840</v>
      </c>
      <c r="K73" s="19">
        <f>K75</f>
        <v>340</v>
      </c>
    </row>
    <row r="74" spans="1:11" x14ac:dyDescent="0.15">
      <c r="A74" s="21">
        <v>100272</v>
      </c>
      <c r="B74" s="21" t="s">
        <v>71</v>
      </c>
      <c r="C74" s="21" t="s">
        <v>153</v>
      </c>
      <c r="D74" s="21">
        <v>0</v>
      </c>
      <c r="E74" s="18">
        <v>1862</v>
      </c>
      <c r="F74" s="21">
        <v>1962</v>
      </c>
      <c r="G74" s="24">
        <f>ROUND(G75/50,0)</f>
        <v>97</v>
      </c>
      <c r="H74" s="18">
        <v>90</v>
      </c>
      <c r="I74" s="18"/>
      <c r="J74" s="20">
        <f t="shared" si="4"/>
        <v>7</v>
      </c>
      <c r="K74" s="19">
        <f>ROUNDUP(K75/50,0)</f>
        <v>7</v>
      </c>
    </row>
    <row r="75" spans="1:11" x14ac:dyDescent="0.15">
      <c r="A75" s="18"/>
      <c r="B75" s="18" t="s">
        <v>169</v>
      </c>
      <c r="C75" s="18"/>
      <c r="D75" s="18">
        <f>D73+D74*50</f>
        <v>2080</v>
      </c>
      <c r="E75" s="18">
        <f>E73+E74*50</f>
        <v>103260</v>
      </c>
      <c r="F75" s="18">
        <f>F73+F74*50</f>
        <v>100500</v>
      </c>
      <c r="G75" s="24">
        <f t="shared" si="3"/>
        <v>4840</v>
      </c>
      <c r="H75" s="18">
        <f>H73+H74*50</f>
        <v>4500</v>
      </c>
      <c r="I75" s="18">
        <f>I73+I74*50</f>
        <v>0</v>
      </c>
      <c r="J75" s="20">
        <f t="shared" si="4"/>
        <v>340</v>
      </c>
      <c r="K75" s="19">
        <f t="shared" si="5"/>
        <v>340</v>
      </c>
    </row>
  </sheetData>
  <phoneticPr fontId="7"/>
  <pageMargins left="0.25" right="0.25" top="0.75" bottom="0.75" header="0.3" footer="0.3"/>
  <pageSetup paperSize="9" scale="61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print="0" autoFill="0" autoPict="0" macro="[0]!丸健二次製品受注数量読込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628650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pageSetUpPr fitToPage="1"/>
  </sheetPr>
  <dimension ref="A1:J461"/>
  <sheetViews>
    <sheetView zoomScaleNormal="100" workbookViewId="0">
      <pane ySplit="2" topLeftCell="A3" activePane="bottomLeft" state="frozen"/>
      <selection pane="bottomLeft" activeCell="D14" sqref="D14"/>
    </sheetView>
  </sheetViews>
  <sheetFormatPr defaultColWidth="9" defaultRowHeight="13.5" x14ac:dyDescent="0.15"/>
  <cols>
    <col min="1" max="1" width="9.875" style="2" bestFit="1" customWidth="1"/>
    <col min="2" max="2" width="22" style="2" bestFit="1" customWidth="1"/>
    <col min="3" max="3" width="13.75" style="2" bestFit="1" customWidth="1"/>
    <col min="4" max="5" width="9.75" style="2" customWidth="1"/>
    <col min="6" max="6" width="9.75" style="12" customWidth="1"/>
    <col min="7" max="8" width="9.75" style="2" customWidth="1"/>
    <col min="9" max="9" width="9" style="2" bestFit="1" customWidth="1"/>
    <col min="10" max="10" width="6.5" style="2" customWidth="1"/>
    <col min="11" max="24" width="6.5" style="8" customWidth="1"/>
    <col min="25" max="16384" width="9" style="8"/>
  </cols>
  <sheetData>
    <row r="1" spans="1:10" ht="24.75" customHeight="1" x14ac:dyDescent="0.2">
      <c r="C1" s="3"/>
      <c r="D1" s="5"/>
      <c r="H1" s="7"/>
      <c r="I1" s="7" t="s">
        <v>81</v>
      </c>
    </row>
    <row r="2" spans="1:10" s="16" customFormat="1" x14ac:dyDescent="0.15">
      <c r="A2" s="1" t="s">
        <v>73</v>
      </c>
      <c r="B2" s="11" t="s">
        <v>72</v>
      </c>
      <c r="C2" s="11" t="s">
        <v>74</v>
      </c>
      <c r="D2" s="11" t="s">
        <v>75</v>
      </c>
      <c r="E2" s="11" t="s">
        <v>76</v>
      </c>
      <c r="F2" s="13" t="s">
        <v>77</v>
      </c>
      <c r="G2" s="11" t="s">
        <v>79</v>
      </c>
      <c r="H2" s="11" t="s">
        <v>78</v>
      </c>
      <c r="I2" s="11" t="s">
        <v>80</v>
      </c>
      <c r="J2" s="15"/>
    </row>
    <row r="3" spans="1:10" x14ac:dyDescent="0.15">
      <c r="A3" s="1">
        <v>200201</v>
      </c>
      <c r="B3" s="1" t="s">
        <v>0</v>
      </c>
      <c r="C3" s="1" t="s">
        <v>82</v>
      </c>
      <c r="D3" s="1">
        <v>360</v>
      </c>
      <c r="E3" s="1">
        <v>360</v>
      </c>
      <c r="F3" s="13">
        <f>E3-D3</f>
        <v>0</v>
      </c>
      <c r="G3" s="1">
        <v>36</v>
      </c>
      <c r="H3" s="13">
        <f>F3-G3</f>
        <v>-36</v>
      </c>
      <c r="I3" s="13"/>
    </row>
    <row r="4" spans="1:10" x14ac:dyDescent="0.15">
      <c r="A4" s="1">
        <v>200202</v>
      </c>
      <c r="B4" s="1" t="s">
        <v>1</v>
      </c>
      <c r="C4" s="1" t="s">
        <v>83</v>
      </c>
      <c r="D4" s="1">
        <v>270</v>
      </c>
      <c r="E4" s="1">
        <v>270</v>
      </c>
      <c r="F4" s="13">
        <f t="shared" ref="F4:F67" si="0">E4-D4</f>
        <v>0</v>
      </c>
      <c r="G4" s="1">
        <v>54</v>
      </c>
      <c r="H4" s="13">
        <f t="shared" ref="H4:H67" si="1">F4-G4</f>
        <v>-54</v>
      </c>
      <c r="I4" s="13"/>
    </row>
    <row r="5" spans="1:10" x14ac:dyDescent="0.15">
      <c r="A5" s="1">
        <v>200203</v>
      </c>
      <c r="B5" s="1" t="s">
        <v>2</v>
      </c>
      <c r="C5" s="1" t="s">
        <v>84</v>
      </c>
      <c r="D5" s="1">
        <v>252</v>
      </c>
      <c r="E5" s="1">
        <v>252</v>
      </c>
      <c r="F5" s="13">
        <f t="shared" si="0"/>
        <v>0</v>
      </c>
      <c r="G5" s="1"/>
      <c r="H5" s="13">
        <f t="shared" si="1"/>
        <v>0</v>
      </c>
      <c r="I5" s="13"/>
    </row>
    <row r="6" spans="1:10" x14ac:dyDescent="0.15">
      <c r="A6" s="1">
        <v>200204</v>
      </c>
      <c r="B6" s="1" t="s">
        <v>3</v>
      </c>
      <c r="C6" s="1" t="s">
        <v>85</v>
      </c>
      <c r="D6" s="1">
        <v>470</v>
      </c>
      <c r="E6" s="4">
        <v>470</v>
      </c>
      <c r="F6" s="13">
        <f t="shared" si="0"/>
        <v>0</v>
      </c>
      <c r="G6" s="1">
        <v>60</v>
      </c>
      <c r="H6" s="13">
        <f t="shared" si="1"/>
        <v>-60</v>
      </c>
      <c r="I6" s="13"/>
    </row>
    <row r="7" spans="1:10" x14ac:dyDescent="0.15">
      <c r="A7" s="1">
        <v>200205</v>
      </c>
      <c r="B7" s="1" t="s">
        <v>4</v>
      </c>
      <c r="C7" s="1" t="s">
        <v>86</v>
      </c>
      <c r="D7" s="1">
        <v>210</v>
      </c>
      <c r="E7" s="1">
        <v>212</v>
      </c>
      <c r="F7" s="13">
        <f t="shared" si="0"/>
        <v>2</v>
      </c>
      <c r="G7" s="1">
        <v>80</v>
      </c>
      <c r="H7" s="13">
        <f t="shared" si="1"/>
        <v>-78</v>
      </c>
      <c r="I7" s="13"/>
    </row>
    <row r="8" spans="1:10" x14ac:dyDescent="0.15">
      <c r="A8" s="1">
        <v>200206</v>
      </c>
      <c r="B8" s="1" t="s">
        <v>5</v>
      </c>
      <c r="C8" s="1" t="s">
        <v>87</v>
      </c>
      <c r="D8" s="1">
        <v>79</v>
      </c>
      <c r="E8" s="1">
        <v>90</v>
      </c>
      <c r="F8" s="13">
        <f t="shared" si="0"/>
        <v>11</v>
      </c>
      <c r="G8" s="1"/>
      <c r="H8" s="13">
        <f t="shared" si="1"/>
        <v>11</v>
      </c>
      <c r="I8" s="13"/>
    </row>
    <row r="9" spans="1:10" x14ac:dyDescent="0.15">
      <c r="A9" s="1">
        <v>200207</v>
      </c>
      <c r="B9" s="1" t="s">
        <v>6</v>
      </c>
      <c r="C9" s="1" t="s">
        <v>88</v>
      </c>
      <c r="D9" s="1">
        <v>14</v>
      </c>
      <c r="E9" s="1">
        <v>14</v>
      </c>
      <c r="F9" s="13">
        <f t="shared" si="0"/>
        <v>0</v>
      </c>
      <c r="G9" s="1"/>
      <c r="H9" s="13">
        <f t="shared" si="1"/>
        <v>0</v>
      </c>
      <c r="I9" s="13"/>
    </row>
    <row r="10" spans="1:10" x14ac:dyDescent="0.15">
      <c r="A10" s="1">
        <v>200208</v>
      </c>
      <c r="B10" s="1" t="s">
        <v>7</v>
      </c>
      <c r="C10" s="1" t="s">
        <v>89</v>
      </c>
      <c r="D10" s="1">
        <v>120</v>
      </c>
      <c r="E10" s="6">
        <v>168</v>
      </c>
      <c r="F10" s="13">
        <f t="shared" si="0"/>
        <v>48</v>
      </c>
      <c r="G10" s="1"/>
      <c r="H10" s="13">
        <f t="shared" si="1"/>
        <v>48</v>
      </c>
      <c r="I10" s="13"/>
    </row>
    <row r="11" spans="1:10" x14ac:dyDescent="0.15">
      <c r="A11" s="1">
        <v>200209</v>
      </c>
      <c r="B11" s="1" t="s">
        <v>8</v>
      </c>
      <c r="C11" s="1" t="s">
        <v>90</v>
      </c>
      <c r="D11" s="1">
        <v>220</v>
      </c>
      <c r="E11" s="6">
        <v>280</v>
      </c>
      <c r="F11" s="13">
        <f t="shared" si="0"/>
        <v>60</v>
      </c>
      <c r="G11" s="1"/>
      <c r="H11" s="13">
        <f t="shared" si="1"/>
        <v>60</v>
      </c>
      <c r="I11" s="13"/>
    </row>
    <row r="12" spans="1:10" x14ac:dyDescent="0.15">
      <c r="A12" s="1">
        <v>200210</v>
      </c>
      <c r="B12" s="1" t="s">
        <v>9</v>
      </c>
      <c r="C12" s="1" t="s">
        <v>91</v>
      </c>
      <c r="D12" s="1">
        <v>170</v>
      </c>
      <c r="E12" s="1">
        <v>210</v>
      </c>
      <c r="F12" s="13">
        <f t="shared" si="0"/>
        <v>40</v>
      </c>
      <c r="G12" s="1"/>
      <c r="H12" s="13">
        <f t="shared" si="1"/>
        <v>40</v>
      </c>
      <c r="I12" s="13"/>
    </row>
    <row r="13" spans="1:10" x14ac:dyDescent="0.15">
      <c r="A13" s="1">
        <v>200211</v>
      </c>
      <c r="B13" s="1" t="s">
        <v>10</v>
      </c>
      <c r="C13" s="1" t="s">
        <v>92</v>
      </c>
      <c r="D13" s="1">
        <v>250</v>
      </c>
      <c r="E13" s="1">
        <v>252</v>
      </c>
      <c r="F13" s="13">
        <f t="shared" si="0"/>
        <v>2</v>
      </c>
      <c r="G13" s="1"/>
      <c r="H13" s="13">
        <f t="shared" si="1"/>
        <v>2</v>
      </c>
      <c r="I13" s="13"/>
    </row>
    <row r="14" spans="1:10" x14ac:dyDescent="0.15">
      <c r="A14" s="1">
        <v>200212</v>
      </c>
      <c r="B14" s="1" t="s">
        <v>11</v>
      </c>
      <c r="C14" s="1" t="s">
        <v>93</v>
      </c>
      <c r="D14" s="1">
        <v>190</v>
      </c>
      <c r="E14" s="1">
        <v>216</v>
      </c>
      <c r="F14" s="13">
        <f t="shared" si="0"/>
        <v>26</v>
      </c>
      <c r="G14" s="1"/>
      <c r="H14" s="13">
        <f t="shared" si="1"/>
        <v>26</v>
      </c>
      <c r="I14" s="13"/>
    </row>
    <row r="15" spans="1:10" x14ac:dyDescent="0.15">
      <c r="A15" s="1">
        <v>200213</v>
      </c>
      <c r="B15" s="1" t="s">
        <v>12</v>
      </c>
      <c r="C15" s="1" t="s">
        <v>94</v>
      </c>
      <c r="D15" s="1">
        <v>95</v>
      </c>
      <c r="E15" s="1">
        <v>120</v>
      </c>
      <c r="F15" s="13">
        <f t="shared" si="0"/>
        <v>25</v>
      </c>
      <c r="G15" s="1"/>
      <c r="H15" s="13">
        <f t="shared" si="1"/>
        <v>25</v>
      </c>
      <c r="I15" s="13"/>
    </row>
    <row r="16" spans="1:10" x14ac:dyDescent="0.15">
      <c r="A16" s="1">
        <v>200214</v>
      </c>
      <c r="B16" s="1" t="s">
        <v>13</v>
      </c>
      <c r="C16" s="1" t="s">
        <v>95</v>
      </c>
      <c r="D16" s="1">
        <v>36</v>
      </c>
      <c r="E16" s="1">
        <v>80</v>
      </c>
      <c r="F16" s="13">
        <f t="shared" si="0"/>
        <v>44</v>
      </c>
      <c r="G16" s="1"/>
      <c r="H16" s="13">
        <f t="shared" si="1"/>
        <v>44</v>
      </c>
      <c r="I16" s="13"/>
    </row>
    <row r="17" spans="1:9" x14ac:dyDescent="0.15">
      <c r="A17" s="1">
        <v>200215</v>
      </c>
      <c r="B17" s="1" t="s">
        <v>14</v>
      </c>
      <c r="C17" s="1" t="s">
        <v>96</v>
      </c>
      <c r="D17" s="1">
        <v>297</v>
      </c>
      <c r="E17" s="1">
        <v>297</v>
      </c>
      <c r="F17" s="13">
        <f t="shared" si="0"/>
        <v>0</v>
      </c>
      <c r="G17" s="1"/>
      <c r="H17" s="13">
        <f t="shared" si="1"/>
        <v>0</v>
      </c>
      <c r="I17" s="13"/>
    </row>
    <row r="18" spans="1:9" x14ac:dyDescent="0.15">
      <c r="A18" s="1">
        <v>200216</v>
      </c>
      <c r="B18" s="1" t="s">
        <v>15</v>
      </c>
      <c r="C18" s="1" t="s">
        <v>97</v>
      </c>
      <c r="D18" s="1">
        <v>351</v>
      </c>
      <c r="E18" s="1">
        <v>351</v>
      </c>
      <c r="F18" s="13">
        <f t="shared" si="0"/>
        <v>0</v>
      </c>
      <c r="G18" s="1">
        <v>81</v>
      </c>
      <c r="H18" s="13">
        <f t="shared" si="1"/>
        <v>-81</v>
      </c>
      <c r="I18" s="13"/>
    </row>
    <row r="19" spans="1:9" x14ac:dyDescent="0.15">
      <c r="A19" s="1">
        <v>200217</v>
      </c>
      <c r="B19" s="1" t="s">
        <v>16</v>
      </c>
      <c r="C19" s="1" t="s">
        <v>98</v>
      </c>
      <c r="D19" s="1">
        <v>273</v>
      </c>
      <c r="E19" s="1">
        <v>273</v>
      </c>
      <c r="F19" s="13">
        <f t="shared" si="0"/>
        <v>0</v>
      </c>
      <c r="G19" s="1">
        <v>84</v>
      </c>
      <c r="H19" s="13">
        <f t="shared" si="1"/>
        <v>-84</v>
      </c>
      <c r="I19" s="13"/>
    </row>
    <row r="20" spans="1:9" x14ac:dyDescent="0.15">
      <c r="A20" s="1">
        <v>200218</v>
      </c>
      <c r="B20" s="1" t="s">
        <v>17</v>
      </c>
      <c r="C20" s="1" t="s">
        <v>99</v>
      </c>
      <c r="D20" s="1">
        <v>190</v>
      </c>
      <c r="E20" s="1">
        <v>190</v>
      </c>
      <c r="F20" s="13">
        <f t="shared" si="0"/>
        <v>0</v>
      </c>
      <c r="G20" s="1">
        <v>40</v>
      </c>
      <c r="H20" s="13">
        <f t="shared" si="1"/>
        <v>-40</v>
      </c>
      <c r="I20" s="13"/>
    </row>
    <row r="21" spans="1:9" x14ac:dyDescent="0.15">
      <c r="A21" s="1">
        <v>200219</v>
      </c>
      <c r="B21" s="1" t="s">
        <v>18</v>
      </c>
      <c r="C21" s="1" t="s">
        <v>100</v>
      </c>
      <c r="D21" s="1">
        <v>87</v>
      </c>
      <c r="E21" s="1">
        <v>88</v>
      </c>
      <c r="F21" s="13">
        <f t="shared" si="0"/>
        <v>1</v>
      </c>
      <c r="G21" s="1">
        <v>18</v>
      </c>
      <c r="H21" s="13">
        <f t="shared" si="1"/>
        <v>-17</v>
      </c>
      <c r="I21" s="13"/>
    </row>
    <row r="22" spans="1:9" x14ac:dyDescent="0.15">
      <c r="A22" s="1">
        <v>200220</v>
      </c>
      <c r="B22" s="1" t="s">
        <v>19</v>
      </c>
      <c r="C22" s="1" t="s">
        <v>101</v>
      </c>
      <c r="D22" s="1">
        <v>85</v>
      </c>
      <c r="E22" s="1">
        <v>87</v>
      </c>
      <c r="F22" s="13">
        <f t="shared" si="0"/>
        <v>2</v>
      </c>
      <c r="G22" s="1">
        <v>29</v>
      </c>
      <c r="H22" s="13">
        <f t="shared" si="1"/>
        <v>-27</v>
      </c>
      <c r="I22" s="13"/>
    </row>
    <row r="23" spans="1:9" x14ac:dyDescent="0.15">
      <c r="A23" s="1">
        <v>200221</v>
      </c>
      <c r="B23" s="1" t="s">
        <v>20</v>
      </c>
      <c r="C23" s="1" t="s">
        <v>102</v>
      </c>
      <c r="D23" s="1">
        <v>47</v>
      </c>
      <c r="E23" s="1">
        <v>48</v>
      </c>
      <c r="F23" s="13">
        <f t="shared" si="0"/>
        <v>1</v>
      </c>
      <c r="G23" s="1">
        <v>21</v>
      </c>
      <c r="H23" s="13">
        <f t="shared" si="1"/>
        <v>-20</v>
      </c>
      <c r="I23" s="13"/>
    </row>
    <row r="24" spans="1:9" x14ac:dyDescent="0.15">
      <c r="A24" s="1">
        <v>200222</v>
      </c>
      <c r="B24" s="1" t="s">
        <v>21</v>
      </c>
      <c r="C24" s="1" t="s">
        <v>103</v>
      </c>
      <c r="D24" s="1">
        <v>160</v>
      </c>
      <c r="E24" s="1">
        <v>342</v>
      </c>
      <c r="F24" s="13">
        <f t="shared" si="0"/>
        <v>182</v>
      </c>
      <c r="G24" s="1"/>
      <c r="H24" s="13">
        <f t="shared" si="1"/>
        <v>182</v>
      </c>
      <c r="I24" s="13"/>
    </row>
    <row r="25" spans="1:9" x14ac:dyDescent="0.15">
      <c r="A25" s="1">
        <v>200223</v>
      </c>
      <c r="B25" s="1" t="s">
        <v>22</v>
      </c>
      <c r="C25" s="1" t="s">
        <v>104</v>
      </c>
      <c r="D25" s="1">
        <v>158</v>
      </c>
      <c r="E25" s="1">
        <v>220</v>
      </c>
      <c r="F25" s="13">
        <f t="shared" si="0"/>
        <v>62</v>
      </c>
      <c r="G25" s="1"/>
      <c r="H25" s="13">
        <f t="shared" si="1"/>
        <v>62</v>
      </c>
      <c r="I25" s="13"/>
    </row>
    <row r="26" spans="1:9" x14ac:dyDescent="0.15">
      <c r="A26" s="1">
        <v>200224</v>
      </c>
      <c r="B26" s="1" t="s">
        <v>23</v>
      </c>
      <c r="C26" s="1" t="s">
        <v>105</v>
      </c>
      <c r="D26" s="1">
        <v>110</v>
      </c>
      <c r="E26" s="1">
        <v>132</v>
      </c>
      <c r="F26" s="13">
        <f t="shared" si="0"/>
        <v>22</v>
      </c>
      <c r="G26" s="1"/>
      <c r="H26" s="13">
        <f t="shared" si="1"/>
        <v>22</v>
      </c>
      <c r="I26" s="13"/>
    </row>
    <row r="27" spans="1:9" x14ac:dyDescent="0.15">
      <c r="A27" s="1">
        <v>200225</v>
      </c>
      <c r="B27" s="1" t="s">
        <v>24</v>
      </c>
      <c r="C27" s="1" t="s">
        <v>106</v>
      </c>
      <c r="D27" s="1">
        <v>10</v>
      </c>
      <c r="E27" s="1">
        <v>45</v>
      </c>
      <c r="F27" s="13">
        <f t="shared" si="0"/>
        <v>35</v>
      </c>
      <c r="G27" s="1"/>
      <c r="H27" s="13">
        <f t="shared" si="1"/>
        <v>35</v>
      </c>
      <c r="I27" s="13"/>
    </row>
    <row r="28" spans="1:9" x14ac:dyDescent="0.15">
      <c r="A28" s="1">
        <v>200226</v>
      </c>
      <c r="B28" s="1" t="s">
        <v>25</v>
      </c>
      <c r="C28" s="1" t="s">
        <v>107</v>
      </c>
      <c r="D28" s="1">
        <v>10</v>
      </c>
      <c r="E28" s="1">
        <v>20</v>
      </c>
      <c r="F28" s="13">
        <f t="shared" si="0"/>
        <v>10</v>
      </c>
      <c r="G28" s="1"/>
      <c r="H28" s="13">
        <f t="shared" si="1"/>
        <v>10</v>
      </c>
      <c r="I28" s="13"/>
    </row>
    <row r="29" spans="1:9" x14ac:dyDescent="0.15">
      <c r="A29" s="1">
        <v>200227</v>
      </c>
      <c r="B29" s="1" t="s">
        <v>26</v>
      </c>
      <c r="C29" s="1" t="s">
        <v>108</v>
      </c>
      <c r="D29" s="1">
        <v>4</v>
      </c>
      <c r="E29" s="1">
        <v>20</v>
      </c>
      <c r="F29" s="13">
        <f t="shared" si="0"/>
        <v>16</v>
      </c>
      <c r="G29" s="1"/>
      <c r="H29" s="13">
        <f t="shared" si="1"/>
        <v>16</v>
      </c>
      <c r="I29" s="13"/>
    </row>
    <row r="30" spans="1:9" x14ac:dyDescent="0.15">
      <c r="A30" s="1">
        <v>200228</v>
      </c>
      <c r="B30" s="1" t="s">
        <v>27</v>
      </c>
      <c r="C30" s="1" t="s">
        <v>109</v>
      </c>
      <c r="D30" s="1">
        <v>20</v>
      </c>
      <c r="E30" s="1">
        <v>20</v>
      </c>
      <c r="F30" s="13">
        <f t="shared" si="0"/>
        <v>0</v>
      </c>
      <c r="G30" s="1">
        <v>10</v>
      </c>
      <c r="H30" s="13">
        <f t="shared" si="1"/>
        <v>-10</v>
      </c>
      <c r="I30" s="13"/>
    </row>
    <row r="31" spans="1:9" x14ac:dyDescent="0.15">
      <c r="A31" s="1">
        <v>200229</v>
      </c>
      <c r="B31" s="1" t="s">
        <v>28</v>
      </c>
      <c r="C31" s="1" t="s">
        <v>110</v>
      </c>
      <c r="D31" s="1">
        <v>12</v>
      </c>
      <c r="E31" s="4">
        <v>12</v>
      </c>
      <c r="F31" s="13">
        <f t="shared" si="0"/>
        <v>0</v>
      </c>
      <c r="G31" s="1"/>
      <c r="H31" s="13">
        <f t="shared" si="1"/>
        <v>0</v>
      </c>
      <c r="I31" s="13"/>
    </row>
    <row r="32" spans="1:9" x14ac:dyDescent="0.15">
      <c r="A32" s="1">
        <v>200230</v>
      </c>
      <c r="B32" s="1" t="s">
        <v>29</v>
      </c>
      <c r="C32" s="1" t="s">
        <v>111</v>
      </c>
      <c r="D32" s="1">
        <v>12</v>
      </c>
      <c r="E32" s="1">
        <v>12</v>
      </c>
      <c r="F32" s="13">
        <f t="shared" si="0"/>
        <v>0</v>
      </c>
      <c r="G32" s="1"/>
      <c r="H32" s="13">
        <f t="shared" si="1"/>
        <v>0</v>
      </c>
      <c r="I32" s="13"/>
    </row>
    <row r="33" spans="1:9" x14ac:dyDescent="0.15">
      <c r="A33" s="1">
        <v>200231</v>
      </c>
      <c r="B33" s="1" t="s">
        <v>30</v>
      </c>
      <c r="C33" s="1" t="s">
        <v>112</v>
      </c>
      <c r="D33" s="1"/>
      <c r="E33" s="1">
        <v>24</v>
      </c>
      <c r="F33" s="13">
        <f t="shared" si="0"/>
        <v>24</v>
      </c>
      <c r="G33" s="1"/>
      <c r="H33" s="13">
        <f t="shared" si="1"/>
        <v>24</v>
      </c>
      <c r="I33" s="13"/>
    </row>
    <row r="34" spans="1:9" x14ac:dyDescent="0.15">
      <c r="A34" s="1">
        <v>200232</v>
      </c>
      <c r="B34" s="1" t="s">
        <v>31</v>
      </c>
      <c r="C34" s="1" t="s">
        <v>113</v>
      </c>
      <c r="D34" s="1">
        <v>3</v>
      </c>
      <c r="E34" s="1">
        <v>8</v>
      </c>
      <c r="F34" s="13">
        <f t="shared" si="0"/>
        <v>5</v>
      </c>
      <c r="G34" s="1"/>
      <c r="H34" s="13">
        <f t="shared" si="1"/>
        <v>5</v>
      </c>
      <c r="I34" s="13"/>
    </row>
    <row r="35" spans="1:9" x14ac:dyDescent="0.15">
      <c r="A35" s="1">
        <v>200233</v>
      </c>
      <c r="B35" s="1" t="s">
        <v>32</v>
      </c>
      <c r="C35" s="1" t="s">
        <v>114</v>
      </c>
      <c r="D35" s="1">
        <v>440</v>
      </c>
      <c r="E35" s="1">
        <v>440</v>
      </c>
      <c r="F35" s="13">
        <f t="shared" si="0"/>
        <v>0</v>
      </c>
      <c r="G35" s="1">
        <v>220</v>
      </c>
      <c r="H35" s="13">
        <f t="shared" si="1"/>
        <v>-220</v>
      </c>
      <c r="I35" s="13"/>
    </row>
    <row r="36" spans="1:9" x14ac:dyDescent="0.15">
      <c r="A36" s="1">
        <v>200234</v>
      </c>
      <c r="B36" s="1" t="s">
        <v>33</v>
      </c>
      <c r="C36" s="1" t="s">
        <v>115</v>
      </c>
      <c r="D36" s="1">
        <v>165</v>
      </c>
      <c r="E36" s="1">
        <v>165</v>
      </c>
      <c r="F36" s="13">
        <f t="shared" si="0"/>
        <v>0</v>
      </c>
      <c r="G36" s="1">
        <v>90</v>
      </c>
      <c r="H36" s="13">
        <f t="shared" si="1"/>
        <v>-90</v>
      </c>
      <c r="I36" s="13"/>
    </row>
    <row r="37" spans="1:9" x14ac:dyDescent="0.15">
      <c r="A37" s="1">
        <v>200235</v>
      </c>
      <c r="B37" s="1" t="s">
        <v>34</v>
      </c>
      <c r="C37" s="1" t="s">
        <v>116</v>
      </c>
      <c r="D37" s="1">
        <v>1300</v>
      </c>
      <c r="E37" s="1">
        <v>1300</v>
      </c>
      <c r="F37" s="13">
        <f t="shared" si="0"/>
        <v>0</v>
      </c>
      <c r="G37" s="1">
        <v>140</v>
      </c>
      <c r="H37" s="13">
        <f t="shared" si="1"/>
        <v>-140</v>
      </c>
      <c r="I37" s="13"/>
    </row>
    <row r="38" spans="1:9" x14ac:dyDescent="0.15">
      <c r="A38" s="1">
        <v>200236</v>
      </c>
      <c r="B38" s="1" t="s">
        <v>35</v>
      </c>
      <c r="C38" s="1" t="s">
        <v>117</v>
      </c>
      <c r="D38" s="1">
        <v>1665</v>
      </c>
      <c r="E38" s="1">
        <v>1665</v>
      </c>
      <c r="F38" s="13">
        <f t="shared" si="0"/>
        <v>0</v>
      </c>
      <c r="G38" s="1">
        <v>360</v>
      </c>
      <c r="H38" s="13">
        <f t="shared" si="1"/>
        <v>-360</v>
      </c>
      <c r="I38" s="13"/>
    </row>
    <row r="39" spans="1:9" x14ac:dyDescent="0.15">
      <c r="A39" s="1">
        <v>200237</v>
      </c>
      <c r="B39" s="1" t="s">
        <v>36</v>
      </c>
      <c r="C39" s="1" t="s">
        <v>118</v>
      </c>
      <c r="D39" s="1">
        <v>252</v>
      </c>
      <c r="E39" s="1">
        <v>252</v>
      </c>
      <c r="F39" s="13">
        <f t="shared" si="0"/>
        <v>0</v>
      </c>
      <c r="G39" s="1">
        <v>72</v>
      </c>
      <c r="H39" s="13">
        <f t="shared" si="1"/>
        <v>-72</v>
      </c>
      <c r="I39" s="13"/>
    </row>
    <row r="40" spans="1:9" x14ac:dyDescent="0.15">
      <c r="A40" s="1">
        <v>200238</v>
      </c>
      <c r="B40" s="1" t="s">
        <v>37</v>
      </c>
      <c r="C40" s="1" t="s">
        <v>119</v>
      </c>
      <c r="D40" s="1">
        <v>216</v>
      </c>
      <c r="E40" s="1">
        <v>216</v>
      </c>
      <c r="F40" s="13">
        <f t="shared" si="0"/>
        <v>0</v>
      </c>
      <c r="G40" s="1">
        <v>54</v>
      </c>
      <c r="H40" s="13">
        <f t="shared" si="1"/>
        <v>-54</v>
      </c>
      <c r="I40" s="13"/>
    </row>
    <row r="41" spans="1:9" x14ac:dyDescent="0.15">
      <c r="A41" s="1">
        <v>200239</v>
      </c>
      <c r="B41" s="1" t="s">
        <v>38</v>
      </c>
      <c r="C41" s="1" t="s">
        <v>120</v>
      </c>
      <c r="D41" s="1"/>
      <c r="E41" s="1">
        <v>96</v>
      </c>
      <c r="F41" s="13">
        <f t="shared" si="0"/>
        <v>96</v>
      </c>
      <c r="G41" s="1"/>
      <c r="H41" s="13">
        <f t="shared" si="1"/>
        <v>96</v>
      </c>
      <c r="I41" s="13"/>
    </row>
    <row r="42" spans="1:9" x14ac:dyDescent="0.15">
      <c r="A42" s="1">
        <v>200240</v>
      </c>
      <c r="B42" s="1" t="s">
        <v>39</v>
      </c>
      <c r="C42" s="1" t="s">
        <v>121</v>
      </c>
      <c r="D42" s="1">
        <v>90</v>
      </c>
      <c r="E42" s="1">
        <v>90</v>
      </c>
      <c r="F42" s="13">
        <f t="shared" si="0"/>
        <v>0</v>
      </c>
      <c r="G42" s="1"/>
      <c r="H42" s="13">
        <f t="shared" si="1"/>
        <v>0</v>
      </c>
      <c r="I42" s="13"/>
    </row>
    <row r="43" spans="1:9" x14ac:dyDescent="0.15">
      <c r="A43" s="1">
        <v>200241</v>
      </c>
      <c r="B43" s="1" t="s">
        <v>40</v>
      </c>
      <c r="C43" s="1" t="s">
        <v>122</v>
      </c>
      <c r="D43" s="1">
        <v>320</v>
      </c>
      <c r="E43" s="1">
        <v>320</v>
      </c>
      <c r="F43" s="13">
        <f t="shared" si="0"/>
        <v>0</v>
      </c>
      <c r="G43" s="1"/>
      <c r="H43" s="13">
        <f t="shared" si="1"/>
        <v>0</v>
      </c>
      <c r="I43" s="13"/>
    </row>
    <row r="44" spans="1:9" x14ac:dyDescent="0.15">
      <c r="A44" s="1">
        <v>200242</v>
      </c>
      <c r="B44" s="1" t="s">
        <v>41</v>
      </c>
      <c r="C44" s="1" t="s">
        <v>123</v>
      </c>
      <c r="D44" s="1">
        <v>912</v>
      </c>
      <c r="E44" s="1">
        <v>936</v>
      </c>
      <c r="F44" s="13">
        <f t="shared" si="0"/>
        <v>24</v>
      </c>
      <c r="G44" s="1">
        <v>288</v>
      </c>
      <c r="H44" s="13">
        <f t="shared" si="1"/>
        <v>-264</v>
      </c>
      <c r="I44" s="13"/>
    </row>
    <row r="45" spans="1:9" x14ac:dyDescent="0.15">
      <c r="A45" s="1">
        <v>200243</v>
      </c>
      <c r="B45" s="1" t="s">
        <v>42</v>
      </c>
      <c r="C45" s="1" t="s">
        <v>124</v>
      </c>
      <c r="D45" s="1">
        <v>612</v>
      </c>
      <c r="E45" s="1">
        <v>612</v>
      </c>
      <c r="F45" s="13">
        <f t="shared" si="0"/>
        <v>0</v>
      </c>
      <c r="G45" s="1">
        <v>144</v>
      </c>
      <c r="H45" s="13">
        <f t="shared" si="1"/>
        <v>-144</v>
      </c>
      <c r="I45" s="13"/>
    </row>
    <row r="46" spans="1:9" x14ac:dyDescent="0.15">
      <c r="A46" s="1">
        <v>200244</v>
      </c>
      <c r="B46" s="1" t="s">
        <v>43</v>
      </c>
      <c r="C46" s="1" t="s">
        <v>125</v>
      </c>
      <c r="D46" s="1">
        <v>10</v>
      </c>
      <c r="E46" s="1">
        <v>48</v>
      </c>
      <c r="F46" s="13">
        <f t="shared" si="0"/>
        <v>38</v>
      </c>
      <c r="G46" s="1"/>
      <c r="H46" s="13">
        <f t="shared" si="1"/>
        <v>38</v>
      </c>
      <c r="I46" s="13"/>
    </row>
    <row r="47" spans="1:9" x14ac:dyDescent="0.15">
      <c r="A47" s="1">
        <v>200245</v>
      </c>
      <c r="B47" s="1" t="s">
        <v>44</v>
      </c>
      <c r="C47" s="1" t="s">
        <v>126</v>
      </c>
      <c r="D47" s="1">
        <v>64</v>
      </c>
      <c r="E47" s="1">
        <v>64</v>
      </c>
      <c r="F47" s="13">
        <f t="shared" si="0"/>
        <v>0</v>
      </c>
      <c r="G47" s="1">
        <v>10</v>
      </c>
      <c r="H47" s="13">
        <f t="shared" si="1"/>
        <v>-10</v>
      </c>
      <c r="I47" s="13"/>
    </row>
    <row r="48" spans="1:9" x14ac:dyDescent="0.15">
      <c r="A48" s="1">
        <v>200246</v>
      </c>
      <c r="B48" s="1" t="s">
        <v>45</v>
      </c>
      <c r="C48" s="1" t="s">
        <v>127</v>
      </c>
      <c r="D48" s="1">
        <v>376</v>
      </c>
      <c r="E48" s="1">
        <v>376</v>
      </c>
      <c r="F48" s="13">
        <f t="shared" si="0"/>
        <v>0</v>
      </c>
      <c r="G48" s="1">
        <v>240</v>
      </c>
      <c r="H48" s="13">
        <f t="shared" si="1"/>
        <v>-240</v>
      </c>
      <c r="I48" s="13"/>
    </row>
    <row r="49" spans="1:10" x14ac:dyDescent="0.15">
      <c r="A49" s="1">
        <v>200247</v>
      </c>
      <c r="B49" s="1" t="s">
        <v>46</v>
      </c>
      <c r="C49" s="1" t="s">
        <v>128</v>
      </c>
      <c r="D49" s="1">
        <v>1116</v>
      </c>
      <c r="E49" s="4">
        <v>1116</v>
      </c>
      <c r="F49" s="13">
        <f t="shared" si="0"/>
        <v>0</v>
      </c>
      <c r="G49" s="1">
        <v>300</v>
      </c>
      <c r="H49" s="13">
        <f t="shared" si="1"/>
        <v>-300</v>
      </c>
      <c r="I49" s="13"/>
    </row>
    <row r="50" spans="1:10" x14ac:dyDescent="0.15">
      <c r="A50" s="1">
        <v>200248</v>
      </c>
      <c r="B50" s="1" t="s">
        <v>47</v>
      </c>
      <c r="C50" s="1" t="s">
        <v>129</v>
      </c>
      <c r="D50" s="1">
        <v>696</v>
      </c>
      <c r="E50" s="1">
        <v>696</v>
      </c>
      <c r="F50" s="13">
        <f t="shared" si="0"/>
        <v>0</v>
      </c>
      <c r="G50" s="1">
        <v>444</v>
      </c>
      <c r="H50" s="13">
        <f t="shared" si="1"/>
        <v>-444</v>
      </c>
      <c r="I50" s="13"/>
    </row>
    <row r="51" spans="1:10" x14ac:dyDescent="0.15">
      <c r="A51" s="1">
        <v>200249</v>
      </c>
      <c r="B51" s="1" t="s">
        <v>48</v>
      </c>
      <c r="C51" s="4" t="s">
        <v>130</v>
      </c>
      <c r="D51" s="4">
        <v>1152</v>
      </c>
      <c r="E51" s="4">
        <v>1152</v>
      </c>
      <c r="F51" s="13">
        <f t="shared" si="0"/>
        <v>0</v>
      </c>
      <c r="G51" s="4">
        <v>320</v>
      </c>
      <c r="H51" s="13">
        <f t="shared" si="1"/>
        <v>-320</v>
      </c>
      <c r="I51" s="13"/>
      <c r="J51" s="9"/>
    </row>
    <row r="52" spans="1:10" x14ac:dyDescent="0.15">
      <c r="A52" s="1">
        <v>200250</v>
      </c>
      <c r="B52" s="1" t="s">
        <v>49</v>
      </c>
      <c r="C52" s="1" t="s">
        <v>131</v>
      </c>
      <c r="D52" s="1">
        <v>384</v>
      </c>
      <c r="E52" s="1">
        <v>384</v>
      </c>
      <c r="F52" s="13">
        <f t="shared" si="0"/>
        <v>0</v>
      </c>
      <c r="G52" s="1">
        <v>32</v>
      </c>
      <c r="H52" s="13">
        <f t="shared" si="1"/>
        <v>-32</v>
      </c>
      <c r="I52" s="13"/>
    </row>
    <row r="53" spans="1:10" x14ac:dyDescent="0.15">
      <c r="A53" s="1">
        <v>200251</v>
      </c>
      <c r="B53" s="1" t="s">
        <v>50</v>
      </c>
      <c r="C53" s="1" t="s">
        <v>132</v>
      </c>
      <c r="D53" s="1">
        <v>576</v>
      </c>
      <c r="E53" s="1">
        <v>576</v>
      </c>
      <c r="F53" s="13">
        <f t="shared" si="0"/>
        <v>0</v>
      </c>
      <c r="G53" s="1">
        <v>128</v>
      </c>
      <c r="H53" s="13">
        <f t="shared" si="1"/>
        <v>-128</v>
      </c>
      <c r="I53" s="13"/>
    </row>
    <row r="54" spans="1:10" x14ac:dyDescent="0.15">
      <c r="A54" s="1">
        <v>200252</v>
      </c>
      <c r="B54" s="1" t="s">
        <v>51</v>
      </c>
      <c r="C54" s="1" t="s">
        <v>133</v>
      </c>
      <c r="D54" s="1">
        <v>264</v>
      </c>
      <c r="E54" s="1">
        <v>264</v>
      </c>
      <c r="F54" s="13">
        <f t="shared" si="0"/>
        <v>0</v>
      </c>
      <c r="G54" s="1">
        <v>234</v>
      </c>
      <c r="H54" s="13">
        <f t="shared" si="1"/>
        <v>-234</v>
      </c>
      <c r="I54" s="13"/>
    </row>
    <row r="55" spans="1:10" x14ac:dyDescent="0.15">
      <c r="A55" s="1">
        <v>200253</v>
      </c>
      <c r="B55" s="1" t="s">
        <v>52</v>
      </c>
      <c r="C55" s="1" t="s">
        <v>134</v>
      </c>
      <c r="D55" s="1">
        <v>114</v>
      </c>
      <c r="E55" s="1">
        <v>114</v>
      </c>
      <c r="F55" s="13">
        <f t="shared" si="0"/>
        <v>0</v>
      </c>
      <c r="G55" s="1"/>
      <c r="H55" s="13">
        <f t="shared" si="1"/>
        <v>0</v>
      </c>
      <c r="I55" s="13"/>
    </row>
    <row r="56" spans="1:10" x14ac:dyDescent="0.15">
      <c r="A56" s="1">
        <v>200254</v>
      </c>
      <c r="B56" s="1" t="s">
        <v>53</v>
      </c>
      <c r="C56" s="1" t="s">
        <v>135</v>
      </c>
      <c r="D56" s="1">
        <v>12</v>
      </c>
      <c r="E56" s="1">
        <v>18</v>
      </c>
      <c r="F56" s="13">
        <f t="shared" si="0"/>
        <v>6</v>
      </c>
      <c r="G56" s="1">
        <v>12</v>
      </c>
      <c r="H56" s="13">
        <f t="shared" si="1"/>
        <v>-6</v>
      </c>
      <c r="I56" s="13"/>
    </row>
    <row r="57" spans="1:10" x14ac:dyDescent="0.15">
      <c r="A57" s="1">
        <v>200255</v>
      </c>
      <c r="B57" s="1" t="s">
        <v>54</v>
      </c>
      <c r="C57" s="1" t="s">
        <v>136</v>
      </c>
      <c r="D57" s="1">
        <v>384</v>
      </c>
      <c r="E57" s="1">
        <v>384</v>
      </c>
      <c r="F57" s="13">
        <f t="shared" si="0"/>
        <v>0</v>
      </c>
      <c r="G57" s="1">
        <v>96</v>
      </c>
      <c r="H57" s="13">
        <f t="shared" si="1"/>
        <v>-96</v>
      </c>
      <c r="I57" s="13"/>
    </row>
    <row r="58" spans="1:10" x14ac:dyDescent="0.15">
      <c r="A58" s="1">
        <v>200256</v>
      </c>
      <c r="B58" s="1" t="s">
        <v>55</v>
      </c>
      <c r="C58" s="1" t="s">
        <v>137</v>
      </c>
      <c r="D58" s="1">
        <v>88</v>
      </c>
      <c r="E58" s="1">
        <v>88</v>
      </c>
      <c r="F58" s="13">
        <f t="shared" si="0"/>
        <v>0</v>
      </c>
      <c r="G58" s="1">
        <v>24</v>
      </c>
      <c r="H58" s="13">
        <f t="shared" si="1"/>
        <v>-24</v>
      </c>
      <c r="I58" s="13"/>
    </row>
    <row r="59" spans="1:10" x14ac:dyDescent="0.15">
      <c r="A59" s="1">
        <v>200257</v>
      </c>
      <c r="B59" s="1" t="s">
        <v>56</v>
      </c>
      <c r="C59" s="1" t="s">
        <v>138</v>
      </c>
      <c r="D59" s="1"/>
      <c r="E59" s="1">
        <v>0</v>
      </c>
      <c r="F59" s="13">
        <f t="shared" si="0"/>
        <v>0</v>
      </c>
      <c r="G59" s="1">
        <v>24</v>
      </c>
      <c r="H59" s="13">
        <f t="shared" si="1"/>
        <v>-24</v>
      </c>
      <c r="I59" s="13"/>
    </row>
    <row r="60" spans="1:10" x14ac:dyDescent="0.15">
      <c r="A60" s="1">
        <v>200258</v>
      </c>
      <c r="B60" s="1" t="s">
        <v>57</v>
      </c>
      <c r="C60" s="1" t="s">
        <v>139</v>
      </c>
      <c r="D60" s="1">
        <v>420</v>
      </c>
      <c r="E60" s="1">
        <v>420</v>
      </c>
      <c r="F60" s="13">
        <f t="shared" si="0"/>
        <v>0</v>
      </c>
      <c r="G60" s="1">
        <v>90</v>
      </c>
      <c r="H60" s="13">
        <f t="shared" si="1"/>
        <v>-90</v>
      </c>
      <c r="I60" s="13"/>
    </row>
    <row r="61" spans="1:10" x14ac:dyDescent="0.15">
      <c r="A61" s="1">
        <v>200259</v>
      </c>
      <c r="B61" s="1" t="s">
        <v>58</v>
      </c>
      <c r="C61" s="1" t="s">
        <v>140</v>
      </c>
      <c r="D61" s="1">
        <v>72</v>
      </c>
      <c r="E61" s="1">
        <v>72</v>
      </c>
      <c r="F61" s="13">
        <f t="shared" si="0"/>
        <v>0</v>
      </c>
      <c r="G61" s="1">
        <v>36</v>
      </c>
      <c r="H61" s="13">
        <f t="shared" si="1"/>
        <v>-36</v>
      </c>
      <c r="I61" s="13"/>
    </row>
    <row r="62" spans="1:10" x14ac:dyDescent="0.15">
      <c r="A62" s="1">
        <v>200260</v>
      </c>
      <c r="B62" s="1" t="s">
        <v>59</v>
      </c>
      <c r="C62" s="1" t="s">
        <v>141</v>
      </c>
      <c r="D62" s="1">
        <v>120</v>
      </c>
      <c r="E62" s="1">
        <v>120</v>
      </c>
      <c r="F62" s="13">
        <f t="shared" si="0"/>
        <v>0</v>
      </c>
      <c r="G62" s="1">
        <v>30</v>
      </c>
      <c r="H62" s="13">
        <f t="shared" si="1"/>
        <v>-30</v>
      </c>
      <c r="I62" s="13"/>
    </row>
    <row r="63" spans="1:10" x14ac:dyDescent="0.15">
      <c r="A63" s="1">
        <v>200261</v>
      </c>
      <c r="B63" s="1" t="s">
        <v>60</v>
      </c>
      <c r="C63" s="1" t="s">
        <v>142</v>
      </c>
      <c r="D63" s="1">
        <v>18</v>
      </c>
      <c r="E63" s="1">
        <v>18</v>
      </c>
      <c r="F63" s="13">
        <f t="shared" si="0"/>
        <v>0</v>
      </c>
      <c r="G63" s="1">
        <v>54</v>
      </c>
      <c r="H63" s="13">
        <f t="shared" si="1"/>
        <v>-54</v>
      </c>
      <c r="I63" s="13"/>
    </row>
    <row r="64" spans="1:10" x14ac:dyDescent="0.15">
      <c r="A64" s="1">
        <v>200262</v>
      </c>
      <c r="B64" s="1" t="s">
        <v>61</v>
      </c>
      <c r="C64" s="1" t="s">
        <v>143</v>
      </c>
      <c r="D64" s="1">
        <v>70</v>
      </c>
      <c r="E64" s="1">
        <v>70</v>
      </c>
      <c r="F64" s="13">
        <f t="shared" si="0"/>
        <v>0</v>
      </c>
      <c r="G64" s="1"/>
      <c r="H64" s="13">
        <f t="shared" si="1"/>
        <v>0</v>
      </c>
      <c r="I64" s="13"/>
    </row>
    <row r="65" spans="1:9" x14ac:dyDescent="0.15">
      <c r="A65" s="1">
        <v>200263</v>
      </c>
      <c r="B65" s="1" t="s">
        <v>62</v>
      </c>
      <c r="C65" s="1" t="s">
        <v>144</v>
      </c>
      <c r="D65" s="1">
        <v>377</v>
      </c>
      <c r="E65" s="1">
        <v>377</v>
      </c>
      <c r="F65" s="13">
        <f t="shared" si="0"/>
        <v>0</v>
      </c>
      <c r="G65" s="1">
        <v>81</v>
      </c>
      <c r="H65" s="13">
        <f t="shared" si="1"/>
        <v>-81</v>
      </c>
      <c r="I65" s="13"/>
    </row>
    <row r="66" spans="1:9" x14ac:dyDescent="0.15">
      <c r="A66" s="1">
        <v>200264</v>
      </c>
      <c r="B66" s="1" t="s">
        <v>63</v>
      </c>
      <c r="C66" s="1" t="s">
        <v>145</v>
      </c>
      <c r="D66" s="1">
        <v>204</v>
      </c>
      <c r="E66" s="1">
        <v>204</v>
      </c>
      <c r="F66" s="13">
        <f t="shared" si="0"/>
        <v>0</v>
      </c>
      <c r="G66" s="1">
        <v>48</v>
      </c>
      <c r="H66" s="13">
        <f t="shared" si="1"/>
        <v>-48</v>
      </c>
      <c r="I66" s="13"/>
    </row>
    <row r="67" spans="1:9" x14ac:dyDescent="0.15">
      <c r="A67" s="1">
        <v>200265</v>
      </c>
      <c r="B67" s="1" t="s">
        <v>64</v>
      </c>
      <c r="C67" s="1" t="s">
        <v>146</v>
      </c>
      <c r="D67" s="1">
        <v>80</v>
      </c>
      <c r="E67" s="1">
        <v>83</v>
      </c>
      <c r="F67" s="13">
        <f t="shared" si="0"/>
        <v>3</v>
      </c>
      <c r="G67" s="1">
        <v>156</v>
      </c>
      <c r="H67" s="13">
        <f t="shared" si="1"/>
        <v>-153</v>
      </c>
      <c r="I67" s="13"/>
    </row>
    <row r="68" spans="1:9" x14ac:dyDescent="0.15">
      <c r="A68" s="1">
        <v>200266</v>
      </c>
      <c r="B68" s="1" t="s">
        <v>65</v>
      </c>
      <c r="C68" s="1" t="s">
        <v>147</v>
      </c>
      <c r="D68" s="1">
        <v>100</v>
      </c>
      <c r="E68" s="1">
        <v>100</v>
      </c>
      <c r="F68" s="13">
        <f t="shared" ref="F68:F74" si="2">E68-D68</f>
        <v>0</v>
      </c>
      <c r="G68" s="1">
        <v>50</v>
      </c>
      <c r="H68" s="13">
        <f t="shared" ref="H68:H74" si="3">F68-G68</f>
        <v>-50</v>
      </c>
      <c r="I68" s="13"/>
    </row>
    <row r="69" spans="1:9" x14ac:dyDescent="0.15">
      <c r="A69" s="1">
        <v>200267</v>
      </c>
      <c r="B69" s="1" t="s">
        <v>66</v>
      </c>
      <c r="C69" s="1" t="s">
        <v>148</v>
      </c>
      <c r="D69" s="1">
        <v>40</v>
      </c>
      <c r="E69" s="1">
        <v>48</v>
      </c>
      <c r="F69" s="13">
        <f t="shared" si="2"/>
        <v>8</v>
      </c>
      <c r="G69" s="1">
        <v>50</v>
      </c>
      <c r="H69" s="13">
        <f t="shared" si="3"/>
        <v>-42</v>
      </c>
      <c r="I69" s="13"/>
    </row>
    <row r="70" spans="1:9" x14ac:dyDescent="0.15">
      <c r="A70" s="1">
        <v>200268</v>
      </c>
      <c r="B70" s="1" t="s">
        <v>67</v>
      </c>
      <c r="C70" s="1" t="s">
        <v>149</v>
      </c>
      <c r="D70" s="1">
        <v>4</v>
      </c>
      <c r="E70" s="1">
        <v>20</v>
      </c>
      <c r="F70" s="13">
        <f t="shared" si="2"/>
        <v>16</v>
      </c>
      <c r="G70" s="1"/>
      <c r="H70" s="13">
        <f t="shared" si="3"/>
        <v>16</v>
      </c>
      <c r="I70" s="13"/>
    </row>
    <row r="71" spans="1:9" x14ac:dyDescent="0.15">
      <c r="A71" s="1">
        <v>200269</v>
      </c>
      <c r="B71" s="1" t="s">
        <v>68</v>
      </c>
      <c r="C71" s="1" t="s">
        <v>150</v>
      </c>
      <c r="D71" s="1">
        <v>10</v>
      </c>
      <c r="E71" s="1">
        <v>29</v>
      </c>
      <c r="F71" s="13">
        <f t="shared" si="2"/>
        <v>19</v>
      </c>
      <c r="G71" s="1"/>
      <c r="H71" s="13">
        <f t="shared" si="3"/>
        <v>19</v>
      </c>
      <c r="I71" s="13"/>
    </row>
    <row r="72" spans="1:9" x14ac:dyDescent="0.15">
      <c r="A72" s="1">
        <v>200270</v>
      </c>
      <c r="B72" s="1" t="s">
        <v>69</v>
      </c>
      <c r="C72" s="1" t="s">
        <v>151</v>
      </c>
      <c r="D72" s="1">
        <v>12</v>
      </c>
      <c r="E72" s="1">
        <v>34</v>
      </c>
      <c r="F72" s="13">
        <f t="shared" si="2"/>
        <v>22</v>
      </c>
      <c r="G72" s="1"/>
      <c r="H72" s="13">
        <f t="shared" si="3"/>
        <v>22</v>
      </c>
      <c r="I72" s="13"/>
    </row>
    <row r="73" spans="1:9" x14ac:dyDescent="0.15">
      <c r="A73" s="1">
        <v>200271</v>
      </c>
      <c r="B73" s="1" t="s">
        <v>70</v>
      </c>
      <c r="C73" s="1" t="s">
        <v>152</v>
      </c>
      <c r="D73" s="1"/>
      <c r="E73" s="1">
        <v>5000</v>
      </c>
      <c r="F73" s="13">
        <f t="shared" si="2"/>
        <v>5000</v>
      </c>
      <c r="G73" s="1"/>
      <c r="H73" s="13">
        <f t="shared" si="3"/>
        <v>5000</v>
      </c>
      <c r="I73" s="13"/>
    </row>
    <row r="74" spans="1:9" x14ac:dyDescent="0.15">
      <c r="A74" s="1">
        <v>200272</v>
      </c>
      <c r="B74" s="1" t="s">
        <v>71</v>
      </c>
      <c r="C74" s="1" t="s">
        <v>153</v>
      </c>
      <c r="D74" s="1">
        <v>84</v>
      </c>
      <c r="E74" s="1">
        <v>-14</v>
      </c>
      <c r="F74" s="13">
        <f t="shared" si="2"/>
        <v>-98</v>
      </c>
      <c r="G74" s="1">
        <v>30</v>
      </c>
      <c r="H74" s="13">
        <f t="shared" si="3"/>
        <v>-128</v>
      </c>
      <c r="I74" s="13"/>
    </row>
    <row r="75" spans="1:9" x14ac:dyDescent="0.15">
      <c r="H75" s="9"/>
    </row>
    <row r="76" spans="1:9" x14ac:dyDescent="0.15">
      <c r="E76" s="9"/>
    </row>
    <row r="78" spans="1:9" x14ac:dyDescent="0.15">
      <c r="E78" s="9"/>
    </row>
    <row r="79" spans="1:9" x14ac:dyDescent="0.15">
      <c r="E79" s="9"/>
    </row>
    <row r="81" spans="3:10" x14ac:dyDescent="0.15">
      <c r="E81" s="9"/>
    </row>
    <row r="82" spans="3:10" x14ac:dyDescent="0.15">
      <c r="E82" s="9"/>
    </row>
    <row r="91" spans="3:10" x14ac:dyDescent="0.15">
      <c r="C91" s="9"/>
      <c r="D91" s="9"/>
      <c r="E91" s="9"/>
      <c r="F91" s="14"/>
      <c r="G91" s="9"/>
      <c r="H91" s="9"/>
      <c r="I91" s="9"/>
      <c r="J91" s="9"/>
    </row>
    <row r="92" spans="3:10" x14ac:dyDescent="0.15">
      <c r="E92" s="10"/>
    </row>
    <row r="106" spans="5:5" x14ac:dyDescent="0.15">
      <c r="E106" s="10"/>
    </row>
    <row r="107" spans="5:5" x14ac:dyDescent="0.15">
      <c r="E107" s="10"/>
    </row>
    <row r="108" spans="5:5" x14ac:dyDescent="0.15">
      <c r="E108" s="10"/>
    </row>
    <row r="109" spans="5:5" x14ac:dyDescent="0.15">
      <c r="E109" s="10"/>
    </row>
    <row r="120" spans="5:5" x14ac:dyDescent="0.15">
      <c r="E120" s="10"/>
    </row>
    <row r="122" spans="5:5" x14ac:dyDescent="0.15">
      <c r="E122" s="10"/>
    </row>
    <row r="123" spans="5:5" x14ac:dyDescent="0.15">
      <c r="E123" s="10"/>
    </row>
    <row r="124" spans="5:5" x14ac:dyDescent="0.15">
      <c r="E124" s="10"/>
    </row>
    <row r="166" spans="5:5" x14ac:dyDescent="0.15">
      <c r="E166" s="9"/>
    </row>
    <row r="176" spans="5:5" x14ac:dyDescent="0.15">
      <c r="E176" s="10"/>
    </row>
    <row r="233" spans="5:5" x14ac:dyDescent="0.15">
      <c r="E233" s="9"/>
    </row>
    <row r="238" spans="5:5" x14ac:dyDescent="0.15">
      <c r="E238" s="9"/>
    </row>
    <row r="240" spans="5:5" x14ac:dyDescent="0.15">
      <c r="E240" s="9"/>
    </row>
    <row r="241" spans="5:5" x14ac:dyDescent="0.15">
      <c r="E241" s="9"/>
    </row>
    <row r="250" spans="5:5" ht="15" customHeight="1" x14ac:dyDescent="0.15">
      <c r="E250" s="10"/>
    </row>
    <row r="286" spans="5:5" ht="16.5" customHeight="1" x14ac:dyDescent="0.15">
      <c r="E286" s="10"/>
    </row>
    <row r="318" spans="5:5" x14ac:dyDescent="0.15">
      <c r="E318" s="9"/>
    </row>
    <row r="329" spans="5:5" ht="15.75" customHeight="1" x14ac:dyDescent="0.15">
      <c r="E329" s="10"/>
    </row>
    <row r="343" spans="5:5" x14ac:dyDescent="0.15">
      <c r="E343" s="9"/>
    </row>
    <row r="345" spans="5:5" x14ac:dyDescent="0.15">
      <c r="E345" s="9"/>
    </row>
    <row r="347" spans="5:5" x14ac:dyDescent="0.15">
      <c r="E347" s="9"/>
    </row>
    <row r="353" spans="5:5" ht="15.75" customHeight="1" x14ac:dyDescent="0.15">
      <c r="E353" s="10"/>
    </row>
    <row r="379" spans="5:5" ht="15" customHeight="1" x14ac:dyDescent="0.15">
      <c r="E379" s="10"/>
    </row>
    <row r="386" spans="5:5" x14ac:dyDescent="0.15">
      <c r="E386" s="9"/>
    </row>
    <row r="389" spans="5:5" x14ac:dyDescent="0.15">
      <c r="E389" s="9"/>
    </row>
    <row r="442" spans="5:8" x14ac:dyDescent="0.15">
      <c r="H442" s="9"/>
    </row>
    <row r="444" spans="5:8" ht="17.25" customHeight="1" x14ac:dyDescent="0.15">
      <c r="E444" s="10"/>
    </row>
    <row r="461" spans="5:5" ht="15" customHeight="1" x14ac:dyDescent="0.15">
      <c r="E461" s="10"/>
    </row>
  </sheetData>
  <phoneticPr fontId="7"/>
  <conditionalFormatting sqref="H3:H74">
    <cfRule type="cellIs" dxfId="0" priority="1" operator="lessThan">
      <formula>0</formula>
    </cfRule>
  </conditionalFormatting>
  <pageMargins left="1" right="1" top="1" bottom="1" header="0.5" footer="0.5"/>
  <pageSetup paperSize="9" orientation="portrait" r:id="rId1"/>
  <headerFooter>
    <oddFooter xml:space="preserve">&amp;C
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4" name="Button 1">
              <controlPr defaultSize="0" print="0" autoFill="0" autoPict="0" macro="[0]!マツモト二次製品受注数量読込">
                <anchor>
                  <from>
                    <xdr:col>0</xdr:col>
                    <xdr:colOff>104775</xdr:colOff>
                    <xdr:row>0</xdr:row>
                    <xdr:rowOff>57150</xdr:rowOff>
                  </from>
                  <to>
                    <xdr:col>1</xdr:col>
                    <xdr:colOff>933450</xdr:colOff>
                    <xdr:row>0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</vt:i4>
      </vt:variant>
    </vt:vector>
  </HeadingPairs>
  <TitlesOfParts>
    <vt:vector size="3" baseType="lpstr">
      <vt:lpstr>丸健二次製品在庫数確認</vt:lpstr>
      <vt:lpstr>マツモト二次製品在庫数確認</vt:lpstr>
      <vt:lpstr>マツモト二次製品在庫数確認!Print_Area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Kinichi</dc:creator>
  <cp:lastModifiedBy>福岡金一</cp:lastModifiedBy>
  <cp:lastPrinted>2016-06-06T02:50:07Z</cp:lastPrinted>
  <dcterms:created xsi:type="dcterms:W3CDTF">2006-09-16T00:00:00Z</dcterms:created>
  <dcterms:modified xsi:type="dcterms:W3CDTF">2016-06-06T06:34:03Z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68b75cbc-73ad-4c34-bcbb-da610d6c685b</vt:lpwstr>
  </property>
</Properties>
</file>