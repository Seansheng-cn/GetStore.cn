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9.xml" ContentType="application/vnd.openxmlformats-officedocument.drawing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システム開発\在庫管理\"/>
    </mc:Choice>
  </mc:AlternateContent>
  <bookViews>
    <workbookView xWindow="240" yWindow="105" windowWidth="14805" windowHeight="8010" tabRatio="649"/>
  </bookViews>
  <sheets>
    <sheet name="受注csv取込" sheetId="4" r:id="rId1"/>
    <sheet name="ダブリ確認" sheetId="22" r:id="rId2"/>
    <sheet name="伝票訂正用" sheetId="28" r:id="rId3"/>
    <sheet name="二次在庫数確認" sheetId="27" r:id="rId4"/>
    <sheet name="二次データ処理" sheetId="23" r:id="rId5"/>
    <sheet name="転送確認（丸健）" sheetId="24" r:id="rId6"/>
    <sheet name="転送確認（マツモト）" sheetId="25" r:id="rId7"/>
    <sheet name="転送確認（MKL）" sheetId="26" r:id="rId8"/>
    <sheet name="商品リスト" sheetId="21" r:id="rId9"/>
    <sheet name="店番リスト" sheetId="29" r:id="rId10"/>
  </sheets>
  <externalReferences>
    <externalReference r:id="rId11"/>
  </externalReferences>
  <definedNames>
    <definedName name="_xlnm._FilterDatabase" localSheetId="1" hidden="1">ダブリ確認!$A$3:$R$3</definedName>
    <definedName name="_xlnm._FilterDatabase" localSheetId="0" hidden="1">受注csv取込!$A$3:$BV$7</definedName>
    <definedName name="_xlnm._FilterDatabase" localSheetId="7" hidden="1">'転送確認（MKL）'!$A$3:$O$5</definedName>
    <definedName name="_xlnm._FilterDatabase" localSheetId="6" hidden="1">'転送確認（マツモト）'!$A$3:$O$5</definedName>
    <definedName name="_xlnm._FilterDatabase" localSheetId="5" hidden="1">'転送確認（丸健）'!$A$3:$O$399</definedName>
    <definedName name="_xlnm._FilterDatabase" localSheetId="2" hidden="1">伝票訂正用!$A$5:$O$5</definedName>
    <definedName name="_xlnm._FilterDatabase" localSheetId="4" hidden="1">二次データ処理!$A$3:$Q$54</definedName>
    <definedName name="_xlnm._FilterDatabase" localSheetId="3" hidden="1">二次在庫数確認!$A$3:$Q$1081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ダブリ確認!#REF!</definedName>
    <definedName name="_xlnm.Print_Area" localSheetId="7">'転送確認（MKL）'!$C$274:$M$276</definedName>
    <definedName name="_xlnm.Print_Area" localSheetId="6">'転送確認（マツモト）'!$C$274:$M$276</definedName>
    <definedName name="_xlnm.Print_Area" localSheetId="5">'転送確認（丸健）'!$C$274:$M$276</definedName>
    <definedName name="_xlnm.Print_Area" localSheetId="2">伝票訂正用!#REF!</definedName>
    <definedName name="_xlnm.Print_Area" localSheetId="4">二次データ処理!$C$274:$M$276</definedName>
    <definedName name="出荷店舗リスト" localSheetId="1">ダブリ確認!#REF!</definedName>
    <definedName name="出荷店舗リスト" localSheetId="9">[1]出荷作業!#REF!</definedName>
    <definedName name="出荷店舗リスト" localSheetId="7">'転送確認（MKL）'!#REF!</definedName>
    <definedName name="出荷店舗リスト" localSheetId="6">'転送確認（マツモト）'!#REF!</definedName>
    <definedName name="出荷店舗リスト" localSheetId="5">'転送確認（丸健）'!#REF!</definedName>
    <definedName name="出荷店舗リスト" localSheetId="2">伝票訂正用!#REF!</definedName>
    <definedName name="出荷店舗リスト" localSheetId="4">二次データ処理!#REF!</definedName>
    <definedName name="出荷店舗リスト" localSheetId="3">二次在庫数確認!#REF!</definedName>
    <definedName name="出荷店舗リスト">#REF!</definedName>
  </definedNames>
  <calcPr calcId="152511"/>
</workbook>
</file>

<file path=xl/calcChain.xml><?xml version="1.0" encoding="utf-8"?>
<calcChain xmlns="http://schemas.openxmlformats.org/spreadsheetml/2006/main">
  <c r="P268" i="21" l="1"/>
  <c r="P267" i="21"/>
  <c r="P266" i="21"/>
  <c r="P265" i="21"/>
  <c r="P264" i="21"/>
  <c r="P263" i="21"/>
  <c r="P262" i="21"/>
  <c r="P261" i="21"/>
  <c r="P260" i="21"/>
  <c r="P259" i="21"/>
  <c r="P258" i="21"/>
  <c r="P257" i="21"/>
  <c r="P256" i="21"/>
  <c r="P255" i="21"/>
  <c r="P254" i="21"/>
  <c r="P253" i="21"/>
  <c r="P252" i="21"/>
  <c r="P251" i="21"/>
  <c r="P250" i="21"/>
  <c r="P249" i="21"/>
  <c r="P248" i="21"/>
  <c r="P247" i="21"/>
  <c r="P246" i="21"/>
  <c r="P245" i="21"/>
  <c r="P244" i="21"/>
  <c r="P243" i="21"/>
  <c r="P242" i="21"/>
  <c r="P241" i="21"/>
  <c r="P240" i="21"/>
  <c r="P239" i="21"/>
  <c r="P238" i="21"/>
  <c r="P237" i="21"/>
  <c r="P236" i="21"/>
  <c r="P235" i="21"/>
  <c r="P234" i="21"/>
  <c r="P233" i="21"/>
  <c r="P232" i="21"/>
  <c r="P231" i="21"/>
  <c r="P230" i="21"/>
  <c r="P229" i="21"/>
  <c r="P228" i="21"/>
  <c r="P227" i="21"/>
  <c r="P226" i="21"/>
  <c r="P225" i="21"/>
  <c r="P224" i="21"/>
  <c r="P223" i="21"/>
  <c r="P222" i="21"/>
  <c r="P221" i="21"/>
  <c r="P220" i="21"/>
  <c r="P219" i="21"/>
  <c r="P218" i="21"/>
  <c r="P217" i="21"/>
  <c r="P216" i="21"/>
  <c r="P215" i="21"/>
  <c r="P214" i="21"/>
  <c r="P213" i="21"/>
  <c r="P212" i="21"/>
  <c r="P211" i="21"/>
  <c r="P210" i="21"/>
  <c r="P209" i="21"/>
  <c r="P208" i="21"/>
  <c r="P207" i="21"/>
  <c r="P206" i="21"/>
  <c r="P205" i="21"/>
  <c r="P204" i="21"/>
  <c r="P203" i="21"/>
  <c r="P202" i="21"/>
  <c r="P201" i="21"/>
  <c r="P200" i="21"/>
  <c r="P199" i="21"/>
  <c r="P198" i="21"/>
  <c r="P197" i="21"/>
  <c r="P196" i="21"/>
  <c r="P195" i="21"/>
  <c r="P194" i="21"/>
  <c r="P193" i="21"/>
  <c r="P192" i="21"/>
  <c r="P191" i="21"/>
  <c r="P190" i="21"/>
  <c r="P189" i="21"/>
  <c r="P188" i="21"/>
  <c r="P187" i="21"/>
  <c r="P186" i="21"/>
  <c r="P185" i="21"/>
  <c r="P184" i="21"/>
  <c r="P183" i="21"/>
  <c r="P182" i="21"/>
  <c r="P181" i="21"/>
  <c r="P180" i="21"/>
  <c r="P179" i="21"/>
  <c r="P178" i="21"/>
  <c r="P177" i="21"/>
  <c r="P176" i="21"/>
  <c r="P175" i="21"/>
  <c r="P174" i="21"/>
  <c r="P173" i="21"/>
  <c r="P172" i="21"/>
  <c r="P171" i="21"/>
  <c r="P170" i="21"/>
  <c r="P169" i="21"/>
  <c r="P168" i="21"/>
  <c r="P167" i="21"/>
  <c r="P166" i="21"/>
  <c r="P165" i="21"/>
  <c r="P164" i="21"/>
  <c r="P163" i="21"/>
  <c r="P162" i="21"/>
  <c r="P161" i="21"/>
  <c r="P160" i="21"/>
  <c r="P159" i="21"/>
  <c r="P158" i="21"/>
  <c r="P157" i="21"/>
  <c r="P156" i="21"/>
  <c r="P155" i="21"/>
  <c r="P154" i="21"/>
  <c r="P153" i="21"/>
  <c r="P152" i="21"/>
  <c r="P151" i="21"/>
  <c r="P150" i="21"/>
  <c r="P149" i="21"/>
  <c r="P148" i="21"/>
  <c r="P147" i="21"/>
  <c r="P146" i="21"/>
  <c r="P145" i="21"/>
  <c r="P144" i="21"/>
  <c r="P143" i="21"/>
  <c r="P142" i="21"/>
  <c r="P141" i="21"/>
  <c r="P140" i="21"/>
  <c r="P139" i="21"/>
  <c r="P138" i="21"/>
  <c r="P137" i="21"/>
  <c r="P136" i="21"/>
  <c r="P135" i="21"/>
  <c r="P134" i="21"/>
  <c r="P133" i="21"/>
  <c r="P132" i="21"/>
  <c r="P131" i="21"/>
  <c r="P130" i="21"/>
  <c r="P129" i="21"/>
  <c r="P128" i="21"/>
  <c r="P127" i="21"/>
  <c r="P126" i="21"/>
  <c r="P125" i="21"/>
  <c r="P124" i="21"/>
  <c r="P123" i="21"/>
  <c r="P122" i="21"/>
  <c r="P121" i="21"/>
  <c r="P120" i="21"/>
  <c r="P119" i="21"/>
  <c r="P118" i="21"/>
  <c r="P117" i="21"/>
  <c r="P116" i="21"/>
  <c r="P115" i="21"/>
  <c r="P114" i="21"/>
  <c r="P113" i="21"/>
  <c r="P112" i="21"/>
  <c r="P111" i="21"/>
  <c r="P110" i="21"/>
  <c r="P109" i="21"/>
  <c r="P108" i="21"/>
  <c r="P107" i="21"/>
  <c r="P106" i="21"/>
  <c r="P105" i="21"/>
  <c r="P104" i="21"/>
  <c r="P103" i="21"/>
  <c r="P102" i="21"/>
  <c r="P101" i="21"/>
  <c r="P100" i="21"/>
  <c r="P99" i="21"/>
  <c r="P98" i="21"/>
  <c r="P97" i="21"/>
  <c r="P96" i="21"/>
  <c r="P95" i="21"/>
  <c r="P94" i="21"/>
  <c r="P93" i="21"/>
  <c r="P92" i="21"/>
  <c r="P91" i="21"/>
  <c r="P90" i="21"/>
  <c r="P89" i="21"/>
  <c r="P88" i="21"/>
  <c r="P87" i="21"/>
  <c r="P86" i="21"/>
  <c r="P85" i="21"/>
  <c r="P84" i="21"/>
  <c r="P83" i="21"/>
  <c r="P82" i="21"/>
  <c r="P81" i="21"/>
  <c r="P80" i="21"/>
  <c r="P79" i="21"/>
  <c r="P78" i="21"/>
  <c r="P77" i="21"/>
  <c r="P76" i="21"/>
  <c r="P75" i="21"/>
  <c r="P74" i="21"/>
  <c r="P73" i="21"/>
  <c r="P72" i="21"/>
  <c r="P71" i="21"/>
  <c r="P70" i="21"/>
  <c r="P69" i="21"/>
  <c r="P68" i="21"/>
  <c r="P67" i="21"/>
  <c r="P66" i="21"/>
  <c r="P65" i="21"/>
  <c r="P64" i="21"/>
  <c r="P63" i="21"/>
  <c r="P62" i="21"/>
  <c r="P61" i="21"/>
  <c r="P60" i="21"/>
  <c r="P59" i="21"/>
  <c r="P58" i="21"/>
  <c r="P57" i="21"/>
  <c r="P56" i="21"/>
  <c r="P55" i="21"/>
  <c r="P54" i="21"/>
  <c r="P53" i="21"/>
  <c r="P52" i="21"/>
  <c r="P51" i="21"/>
  <c r="P50" i="21"/>
  <c r="P49" i="21"/>
  <c r="P48" i="21"/>
  <c r="P47" i="21"/>
  <c r="P46" i="21"/>
  <c r="P45" i="21"/>
  <c r="P44" i="21"/>
  <c r="P43" i="21"/>
  <c r="P42" i="21"/>
  <c r="P41" i="21"/>
  <c r="P40" i="21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P9" i="21"/>
  <c r="P8" i="21"/>
  <c r="P7" i="21"/>
  <c r="P6" i="21"/>
  <c r="P5" i="21"/>
  <c r="P4" i="21"/>
  <c r="P3" i="21"/>
  <c r="P2" i="21"/>
  <c r="D2" i="28"/>
</calcChain>
</file>

<file path=xl/sharedStrings.xml><?xml version="1.0" encoding="utf-8"?>
<sst xmlns="http://schemas.openxmlformats.org/spreadsheetml/2006/main" count="4827" uniqueCount="2458">
  <si>
    <t>万能砕石（小）</t>
  </si>
  <si>
    <t>万能砕石（大）</t>
  </si>
  <si>
    <t>山砂１号</t>
  </si>
  <si>
    <t>土のう／バラス</t>
  </si>
  <si>
    <t>路盤材</t>
  </si>
  <si>
    <t>店Ｃ</t>
    <rPh sb="0" eb="1">
      <t>テン</t>
    </rPh>
    <phoneticPr fontId="6"/>
  </si>
  <si>
    <t>店名</t>
    <rPh sb="0" eb="1">
      <t>ミセ</t>
    </rPh>
    <rPh sb="1" eb="2">
      <t>メイ</t>
    </rPh>
    <phoneticPr fontId="6"/>
  </si>
  <si>
    <t>配送区分</t>
    <rPh sb="0" eb="2">
      <t>ハイソウ</t>
    </rPh>
    <rPh sb="2" eb="4">
      <t>クブン</t>
    </rPh>
    <phoneticPr fontId="6"/>
  </si>
  <si>
    <t>県別</t>
    <rPh sb="0" eb="2">
      <t>ケンベツ</t>
    </rPh>
    <phoneticPr fontId="6"/>
  </si>
  <si>
    <t>住　　　　　　所</t>
    <rPh sb="0" eb="1">
      <t>ジュウ</t>
    </rPh>
    <rPh sb="7" eb="8">
      <t>ショ</t>
    </rPh>
    <phoneticPr fontId="6"/>
  </si>
  <si>
    <t>電話番号</t>
    <rPh sb="0" eb="2">
      <t>デンワ</t>
    </rPh>
    <rPh sb="2" eb="4">
      <t>バンゴウ</t>
    </rPh>
    <phoneticPr fontId="6"/>
  </si>
  <si>
    <t>284-0016</t>
  </si>
  <si>
    <t>千葉</t>
  </si>
  <si>
    <t xml:space="preserve"> 043-420-1271</t>
  </si>
  <si>
    <t xml:space="preserve"> 043-420-1275</t>
  </si>
  <si>
    <t>319-1414</t>
  </si>
  <si>
    <t>茨城</t>
  </si>
  <si>
    <t xml:space="preserve"> 0294-44-8621</t>
  </si>
  <si>
    <t xml:space="preserve"> 0294-44-8620</t>
  </si>
  <si>
    <t>391-0013</t>
  </si>
  <si>
    <t>長野</t>
  </si>
  <si>
    <t xml:space="preserve"> 0266-82-7851</t>
  </si>
  <si>
    <t xml:space="preserve"> 0266-82-7850</t>
  </si>
  <si>
    <t>404-0036</t>
  </si>
  <si>
    <t>山梨</t>
  </si>
  <si>
    <t xml:space="preserve"> 0553-20-6301</t>
  </si>
  <si>
    <t xml:space="preserve"> 0553-20-6300</t>
  </si>
  <si>
    <t>静岡</t>
  </si>
  <si>
    <t>417-0034</t>
  </si>
  <si>
    <t xml:space="preserve"> 0545-55-0601</t>
  </si>
  <si>
    <t xml:space="preserve"> 0545-55-0600</t>
  </si>
  <si>
    <t>418-0001</t>
  </si>
  <si>
    <t xml:space="preserve"> 0544-21-0601</t>
  </si>
  <si>
    <t xml:space="preserve"> 0544-21-0600</t>
  </si>
  <si>
    <t>421-0106</t>
  </si>
  <si>
    <t xml:space="preserve"> 054-201-0231</t>
  </si>
  <si>
    <t xml:space="preserve"> 054-201-0230</t>
  </si>
  <si>
    <t>427-0111</t>
  </si>
  <si>
    <t xml:space="preserve"> 0547-38-6771</t>
  </si>
  <si>
    <t xml:space="preserve"> 0547-38-6770</t>
  </si>
  <si>
    <t>431-0431</t>
  </si>
  <si>
    <t xml:space="preserve"> 053-574-1501</t>
  </si>
  <si>
    <t xml:space="preserve"> 053-574-1500</t>
  </si>
  <si>
    <t>431-3111</t>
  </si>
  <si>
    <t xml:space="preserve"> 053-431-0011</t>
  </si>
  <si>
    <t xml:space="preserve"> 053-431-0010</t>
  </si>
  <si>
    <t>436-0112</t>
  </si>
  <si>
    <t xml:space="preserve"> 0537-20-2111</t>
  </si>
  <si>
    <t xml:space="preserve"> 0537-20-2110</t>
  </si>
  <si>
    <t>437-1304</t>
  </si>
  <si>
    <t xml:space="preserve"> 0537-63-4601</t>
  </si>
  <si>
    <t xml:space="preserve"> 0537-63-4600</t>
  </si>
  <si>
    <t>437-1612</t>
  </si>
  <si>
    <t xml:space="preserve"> 0537-85-0715</t>
  </si>
  <si>
    <t xml:space="preserve"> 0537-85-0710</t>
  </si>
  <si>
    <t>463-0805</t>
  </si>
  <si>
    <t>愛知</t>
  </si>
  <si>
    <t xml:space="preserve"> 052-739-3751</t>
  </si>
  <si>
    <t xml:space="preserve"> 052-739-3750</t>
  </si>
  <si>
    <t>484-0087</t>
  </si>
  <si>
    <t xml:space="preserve"> 0568-62-8801</t>
  </si>
  <si>
    <t xml:space="preserve"> 0568-63-3488</t>
  </si>
  <si>
    <t>489-0906</t>
  </si>
  <si>
    <t xml:space="preserve"> 0561-97-8101</t>
  </si>
  <si>
    <t xml:space="preserve"> 0561-97-8102</t>
  </si>
  <si>
    <t>503-1274</t>
  </si>
  <si>
    <t>岐阜</t>
  </si>
  <si>
    <t xml:space="preserve"> 0584-36-2722</t>
  </si>
  <si>
    <t xml:space="preserve"> 0584-36-2710</t>
  </si>
  <si>
    <t>924-0022</t>
  </si>
  <si>
    <t>石川</t>
  </si>
  <si>
    <t xml:space="preserve"> 076-255-7191</t>
  </si>
  <si>
    <t xml:space="preserve"> 076-274-6230</t>
  </si>
  <si>
    <t>929-1123</t>
  </si>
  <si>
    <t xml:space="preserve"> 076-283-7681</t>
  </si>
  <si>
    <t xml:space="preserve"> 076-283-7680</t>
  </si>
  <si>
    <t>518-0701</t>
  </si>
  <si>
    <t>三重</t>
  </si>
  <si>
    <t xml:space="preserve"> 0595-62-2271</t>
  </si>
  <si>
    <t xml:space="preserve"> 0595-62-2270</t>
  </si>
  <si>
    <t>滋賀</t>
  </si>
  <si>
    <t>520-1501</t>
  </si>
  <si>
    <t xml:space="preserve"> 0740-25-8291</t>
  </si>
  <si>
    <t xml:space="preserve"> 0740-25-8292</t>
  </si>
  <si>
    <t>520-2142</t>
  </si>
  <si>
    <t xml:space="preserve"> 077-547-2500</t>
  </si>
  <si>
    <t xml:space="preserve"> 077-547-2890</t>
  </si>
  <si>
    <t>520-3252</t>
  </si>
  <si>
    <t xml:space="preserve"> 0748-72-8411</t>
  </si>
  <si>
    <t xml:space="preserve"> 0748-72-8410</t>
  </si>
  <si>
    <t>522-0201</t>
  </si>
  <si>
    <t xml:space="preserve"> 0749-21-6055</t>
  </si>
  <si>
    <t xml:space="preserve"> 0749-21-6066</t>
  </si>
  <si>
    <t>528-0231</t>
  </si>
  <si>
    <t xml:space="preserve"> 0748-67-8131</t>
  </si>
  <si>
    <t xml:space="preserve"> 0748-67-8130</t>
  </si>
  <si>
    <t>529-0234</t>
  </si>
  <si>
    <t xml:space="preserve"> 0749-85-8111</t>
  </si>
  <si>
    <t xml:space="preserve"> 0749-85-8110</t>
  </si>
  <si>
    <t>533-0003</t>
  </si>
  <si>
    <t>大阪</t>
  </si>
  <si>
    <t xml:space="preserve"> 06-4809-6731</t>
  </si>
  <si>
    <t xml:space="preserve"> 06-4809-6730</t>
  </si>
  <si>
    <t>586-0038</t>
  </si>
  <si>
    <t xml:space="preserve"> 0721-52-0931</t>
  </si>
  <si>
    <t xml:space="preserve"> 0721-52-0930</t>
  </si>
  <si>
    <t>595-0061</t>
  </si>
  <si>
    <t xml:space="preserve"> 0725-23-5791</t>
  </si>
  <si>
    <t xml:space="preserve"> 0725-23-5790</t>
  </si>
  <si>
    <t>599-0236</t>
  </si>
  <si>
    <t xml:space="preserve"> 072-481-3520</t>
  </si>
  <si>
    <t xml:space="preserve"> 072-481-3523</t>
  </si>
  <si>
    <t>633-0203</t>
  </si>
  <si>
    <t>奈良</t>
  </si>
  <si>
    <t xml:space="preserve"> 0745-85-3831</t>
  </si>
  <si>
    <t xml:space="preserve"> 0745-85-3830</t>
  </si>
  <si>
    <t>639-2272</t>
  </si>
  <si>
    <t xml:space="preserve"> 0745-65-5011</t>
  </si>
  <si>
    <t xml:space="preserve"> 0745-65-5015</t>
  </si>
  <si>
    <t>649-0421</t>
  </si>
  <si>
    <t>和歌山</t>
  </si>
  <si>
    <t xml:space="preserve"> 0737-88-2821</t>
  </si>
  <si>
    <t xml:space="preserve"> 0737-88-2820</t>
  </si>
  <si>
    <t>649-7163</t>
  </si>
  <si>
    <t xml:space="preserve"> 0736-23-3471</t>
  </si>
  <si>
    <t xml:space="preserve"> 0736-23-3470</t>
  </si>
  <si>
    <t>649-7207</t>
  </si>
  <si>
    <t xml:space="preserve"> 0736-44-3011</t>
  </si>
  <si>
    <t xml:space="preserve"> 0736-44-3010</t>
  </si>
  <si>
    <t>651-1513</t>
  </si>
  <si>
    <t>兵庫</t>
  </si>
  <si>
    <t xml:space="preserve"> 078-950-3951</t>
  </si>
  <si>
    <t xml:space="preserve"> 078-950-3950</t>
  </si>
  <si>
    <t>651-2226</t>
  </si>
  <si>
    <t xml:space="preserve"> 078-998-3621</t>
  </si>
  <si>
    <t xml:space="preserve"> 078-998-3620</t>
  </si>
  <si>
    <t>651-2414</t>
  </si>
  <si>
    <t xml:space="preserve"> 078-969-1801</t>
  </si>
  <si>
    <t xml:space="preserve"> 078-969-1804</t>
  </si>
  <si>
    <t>657-0856</t>
  </si>
  <si>
    <t xml:space="preserve"> 078-806-0090</t>
  </si>
  <si>
    <t xml:space="preserve"> 078-806-0092</t>
  </si>
  <si>
    <t>666-0245</t>
  </si>
  <si>
    <t xml:space="preserve"> 072-767-4601</t>
  </si>
  <si>
    <t xml:space="preserve"> 072-767-4600</t>
  </si>
  <si>
    <t>668-0813</t>
  </si>
  <si>
    <t xml:space="preserve"> 0796-29-0511</t>
  </si>
  <si>
    <t xml:space="preserve"> 0796-29-0510</t>
  </si>
  <si>
    <t>670-0943</t>
  </si>
  <si>
    <t xml:space="preserve"> 079-221-8681</t>
  </si>
  <si>
    <t xml:space="preserve"> 079-221-8680</t>
  </si>
  <si>
    <t>672-8022</t>
  </si>
  <si>
    <t xml:space="preserve"> 079-247-1051</t>
  </si>
  <si>
    <t xml:space="preserve"> 079-247-1050</t>
  </si>
  <si>
    <t>673-0404</t>
  </si>
  <si>
    <t xml:space="preserve"> 0794-86-8801</t>
  </si>
  <si>
    <t xml:space="preserve"> 0794-86-8800</t>
  </si>
  <si>
    <t>675-0019</t>
  </si>
  <si>
    <t xml:space="preserve"> 079-456-1271</t>
  </si>
  <si>
    <t xml:space="preserve"> 079-456-1270</t>
  </si>
  <si>
    <t>675-0023</t>
  </si>
  <si>
    <t xml:space="preserve"> 079-456-6301</t>
  </si>
  <si>
    <t xml:space="preserve"> 079-456-6300</t>
  </si>
  <si>
    <t>675-0053</t>
  </si>
  <si>
    <t xml:space="preserve"> 079-433-9000</t>
  </si>
  <si>
    <t xml:space="preserve"> 079-433-9002</t>
  </si>
  <si>
    <t>677-0022</t>
  </si>
  <si>
    <t xml:space="preserve"> 0795-24-5071</t>
  </si>
  <si>
    <t xml:space="preserve"> 0795-24-5070</t>
  </si>
  <si>
    <t>678-0232</t>
  </si>
  <si>
    <t xml:space="preserve"> 0791-46-0155</t>
  </si>
  <si>
    <t xml:space="preserve"> 0791-46-0158</t>
  </si>
  <si>
    <t>678-1232</t>
  </si>
  <si>
    <t xml:space="preserve"> 0791-57-3881</t>
  </si>
  <si>
    <t xml:space="preserve"> 0791-57-3880</t>
  </si>
  <si>
    <t>679-2415</t>
  </si>
  <si>
    <t xml:space="preserve"> 0790-31-3701</t>
  </si>
  <si>
    <t xml:space="preserve"> 0790-31-3700</t>
  </si>
  <si>
    <t>680-0904</t>
  </si>
  <si>
    <t>鳥取</t>
  </si>
  <si>
    <t xml:space="preserve"> 0857-38-3271</t>
  </si>
  <si>
    <t xml:space="preserve"> 0857-38-3270</t>
  </si>
  <si>
    <t>682-0041</t>
  </si>
  <si>
    <t xml:space="preserve"> 0858-48-1221</t>
  </si>
  <si>
    <t xml:space="preserve"> 0858-48-1220</t>
  </si>
  <si>
    <t>689-3425</t>
  </si>
  <si>
    <t xml:space="preserve"> 0859-56-1031</t>
  </si>
  <si>
    <t xml:space="preserve"> 0859-56-1030</t>
  </si>
  <si>
    <t>690-0023</t>
  </si>
  <si>
    <t>島根</t>
  </si>
  <si>
    <t xml:space="preserve"> 0852-38-9261</t>
  </si>
  <si>
    <t xml:space="preserve"> 0852-38-9260</t>
  </si>
  <si>
    <t>平田店</t>
  </si>
  <si>
    <t>691-0001</t>
  </si>
  <si>
    <t xml:space="preserve"> 0853-63-2180</t>
  </si>
  <si>
    <t xml:space="preserve"> 0853-62-9150</t>
  </si>
  <si>
    <t>693-0056</t>
  </si>
  <si>
    <t xml:space="preserve"> 0853-24-7500</t>
  </si>
  <si>
    <t xml:space="preserve"> 0853-24-7502</t>
  </si>
  <si>
    <t>694-0041</t>
  </si>
  <si>
    <t xml:space="preserve"> 0854-84-0431</t>
  </si>
  <si>
    <t xml:space="preserve"> 0854-84-0430</t>
  </si>
  <si>
    <t>697-1321</t>
  </si>
  <si>
    <t xml:space="preserve"> 0855-24-7212</t>
  </si>
  <si>
    <t xml:space="preserve"> 0855-24-7218</t>
  </si>
  <si>
    <t>698-0001</t>
  </si>
  <si>
    <t xml:space="preserve"> 0856-31-1761</t>
  </si>
  <si>
    <t xml:space="preserve"> 0856-31-1764</t>
  </si>
  <si>
    <t>益田店</t>
  </si>
  <si>
    <t>698-0003</t>
  </si>
  <si>
    <t>島根県益田市乙吉町イ－３５２</t>
  </si>
  <si>
    <t xml:space="preserve"> 0856-23-3151</t>
  </si>
  <si>
    <t xml:space="preserve"> 0856-31-0028</t>
  </si>
  <si>
    <t>699-0811</t>
  </si>
  <si>
    <t xml:space="preserve"> 0853-43-8161</t>
  </si>
  <si>
    <t xml:space="preserve"> 0853-43-8160</t>
  </si>
  <si>
    <t>699-1333</t>
  </si>
  <si>
    <t xml:space="preserve"> 0854-42-8061</t>
  </si>
  <si>
    <t xml:space="preserve"> 0854-42-8060</t>
  </si>
  <si>
    <t>699-3162</t>
  </si>
  <si>
    <t xml:space="preserve"> 0855-54-3131</t>
  </si>
  <si>
    <t xml:space="preserve"> 0855-54-3130</t>
  </si>
  <si>
    <t>701-0204</t>
  </si>
  <si>
    <t>岡山</t>
  </si>
  <si>
    <t xml:space="preserve"> 086-282-8200</t>
  </si>
  <si>
    <t xml:space="preserve"> 086-282-8201</t>
  </si>
  <si>
    <t>701-2222</t>
  </si>
  <si>
    <t xml:space="preserve"> 086-957-9221</t>
  </si>
  <si>
    <t xml:space="preserve"> 086-957-9220</t>
  </si>
  <si>
    <t>701-2504</t>
  </si>
  <si>
    <t xml:space="preserve"> 086-954-9731</t>
  </si>
  <si>
    <t xml:space="preserve"> 086-954-9730</t>
  </si>
  <si>
    <t>701-4223</t>
  </si>
  <si>
    <t xml:space="preserve"> 0869-24-2721</t>
  </si>
  <si>
    <t xml:space="preserve"> 0869-24-2720</t>
  </si>
  <si>
    <t>東岡山店</t>
  </si>
  <si>
    <t>703-8222</t>
  </si>
  <si>
    <t xml:space="preserve"> 086-208-6350</t>
  </si>
  <si>
    <t xml:space="preserve"> 086-208-6360</t>
  </si>
  <si>
    <t>707-0015</t>
  </si>
  <si>
    <t xml:space="preserve"> 0868-73-4121</t>
  </si>
  <si>
    <t xml:space="preserve"> 0868-73-4120</t>
  </si>
  <si>
    <t>709-0462</t>
  </si>
  <si>
    <t xml:space="preserve"> 0869-92-5211</t>
  </si>
  <si>
    <t xml:space="preserve"> 0869-92-5212</t>
  </si>
  <si>
    <t>711-0935</t>
  </si>
  <si>
    <t xml:space="preserve"> 086-475-2161</t>
  </si>
  <si>
    <t xml:space="preserve"> 086-475-2160</t>
  </si>
  <si>
    <t>玉島店</t>
  </si>
  <si>
    <t>713-8102</t>
  </si>
  <si>
    <t>岡山県倉敷市玉島８２１－1</t>
  </si>
  <si>
    <t xml:space="preserve"> 086-525-1700</t>
  </si>
  <si>
    <t xml:space="preserve"> 086-523-1015</t>
  </si>
  <si>
    <t>714-1224</t>
  </si>
  <si>
    <t xml:space="preserve"> 0866-82-5171</t>
  </si>
  <si>
    <t xml:space="preserve"> 0866-82-5172</t>
  </si>
  <si>
    <t>715-0025</t>
  </si>
  <si>
    <t xml:space="preserve"> 0866-65-5601</t>
  </si>
  <si>
    <t xml:space="preserve"> 0866-65-5600</t>
  </si>
  <si>
    <t>716-0061</t>
  </si>
  <si>
    <t xml:space="preserve"> 0866-21-3801</t>
  </si>
  <si>
    <t xml:space="preserve"> 0866-21-3800</t>
  </si>
  <si>
    <t>719-0234</t>
  </si>
  <si>
    <t xml:space="preserve"> 0865-45-8681</t>
  </si>
  <si>
    <t xml:space="preserve"> 0865-45-8680</t>
  </si>
  <si>
    <t>719-1154</t>
  </si>
  <si>
    <t xml:space="preserve"> 0866-90-1091</t>
  </si>
  <si>
    <t xml:space="preserve"> 0866-90-1090</t>
  </si>
  <si>
    <t>広島</t>
  </si>
  <si>
    <t>720-1142</t>
  </si>
  <si>
    <t xml:space="preserve"> 084-977-1291</t>
  </si>
  <si>
    <t xml:space="preserve"> 084-977-1290</t>
  </si>
  <si>
    <t>722-1111</t>
  </si>
  <si>
    <t xml:space="preserve"> 0847-25-5331</t>
  </si>
  <si>
    <t xml:space="preserve"> 0847-25-5330</t>
  </si>
  <si>
    <t>竹原店</t>
  </si>
  <si>
    <t>725-0026</t>
  </si>
  <si>
    <t>広島県竹原市中央４丁目７－２０</t>
  </si>
  <si>
    <t xml:space="preserve"> 0846-22-8681</t>
  </si>
  <si>
    <t xml:space="preserve"> 0846-23-0021</t>
  </si>
  <si>
    <t>727-0014</t>
  </si>
  <si>
    <t xml:space="preserve"> 0824-75-0121</t>
  </si>
  <si>
    <t xml:space="preserve"> 0824-75-0180</t>
  </si>
  <si>
    <t>728-0023</t>
  </si>
  <si>
    <t xml:space="preserve"> 0824-64-6120</t>
  </si>
  <si>
    <t xml:space="preserve"> 0824-64-6121</t>
  </si>
  <si>
    <t>松永店</t>
  </si>
  <si>
    <t>729-0114</t>
  </si>
  <si>
    <t xml:space="preserve"> 084-933-0111</t>
  </si>
  <si>
    <t xml:space="preserve"> 084-930-0092</t>
  </si>
  <si>
    <t>729-0414</t>
  </si>
  <si>
    <t xml:space="preserve"> 0848-85-0661</t>
  </si>
  <si>
    <t xml:space="preserve"> 0848-85-0660</t>
  </si>
  <si>
    <t>729-3101</t>
  </si>
  <si>
    <t xml:space="preserve"> 0847-40-3731</t>
  </si>
  <si>
    <t xml:space="preserve"> 0847-40-3730</t>
  </si>
  <si>
    <t>安佐北店</t>
  </si>
  <si>
    <t>731-0231</t>
  </si>
  <si>
    <t>広島県広島市安佐北区亀山９丁目13-14-12</t>
  </si>
  <si>
    <t xml:space="preserve"> 082-815-1981</t>
  </si>
  <si>
    <t xml:space="preserve"> 082-810-0022</t>
  </si>
  <si>
    <t>731-0521</t>
  </si>
  <si>
    <t xml:space="preserve"> 0826-47-1361</t>
  </si>
  <si>
    <t xml:space="preserve"> 0826-47-1360</t>
  </si>
  <si>
    <t>沼田店</t>
  </si>
  <si>
    <t>731-3161</t>
  </si>
  <si>
    <t>広島県広島市安佐南区沼田町大字伴8151</t>
  </si>
  <si>
    <t xml:space="preserve"> 082-848-7790</t>
  </si>
  <si>
    <t xml:space="preserve"> 082-830-1032</t>
  </si>
  <si>
    <t>731-3167</t>
  </si>
  <si>
    <t xml:space="preserve"> 082-849-2811</t>
  </si>
  <si>
    <t xml:space="preserve"> 082-849-2810</t>
  </si>
  <si>
    <t>731-4213</t>
  </si>
  <si>
    <t xml:space="preserve"> 082-855-6111</t>
  </si>
  <si>
    <t xml:space="preserve"> 082-855-6112</t>
  </si>
  <si>
    <t>731-4300</t>
  </si>
  <si>
    <t xml:space="preserve"> 082-820-7201</t>
  </si>
  <si>
    <t xml:space="preserve"> 082-820-7200</t>
  </si>
  <si>
    <t>731-5161</t>
  </si>
  <si>
    <t xml:space="preserve"> 082-943-5725</t>
  </si>
  <si>
    <t xml:space="preserve"> 082-943-5734</t>
  </si>
  <si>
    <t>広店</t>
  </si>
  <si>
    <t>737-0125</t>
  </si>
  <si>
    <t>広島県呉市広本町３丁目１２番１号</t>
  </si>
  <si>
    <t xml:space="preserve"> 0823-76-0701</t>
  </si>
  <si>
    <t xml:space="preserve"> 0823-76-0704</t>
  </si>
  <si>
    <t>光町店</t>
  </si>
  <si>
    <t>737-0823</t>
  </si>
  <si>
    <t>広島県呉市海岸４丁目１６-３</t>
  </si>
  <si>
    <t xml:space="preserve"> 0823-25-7477</t>
  </si>
  <si>
    <t xml:space="preserve"> 0823-20-0143</t>
  </si>
  <si>
    <t>焼山店</t>
  </si>
  <si>
    <t>737-0935</t>
  </si>
  <si>
    <t>広島県呉市焼山中央１丁目１４－１</t>
  </si>
  <si>
    <t xml:space="preserve"> 0823-34-1575</t>
  </si>
  <si>
    <t xml:space="preserve"> 0823-30-1006</t>
  </si>
  <si>
    <t>737-1211</t>
  </si>
  <si>
    <t xml:space="preserve"> 0823-50-1021</t>
  </si>
  <si>
    <t xml:space="preserve"> 0823-50-1020</t>
  </si>
  <si>
    <t>江田島店</t>
  </si>
  <si>
    <t>737-2132</t>
  </si>
  <si>
    <t xml:space="preserve"> 0823-42-5055</t>
  </si>
  <si>
    <t xml:space="preserve"> 0823-40-0002</t>
  </si>
  <si>
    <t>737-2518</t>
  </si>
  <si>
    <t xml:space="preserve"> 0823-85-0012</t>
  </si>
  <si>
    <t xml:space="preserve"> 0823-85-0013</t>
  </si>
  <si>
    <t>738-0053</t>
  </si>
  <si>
    <t xml:space="preserve"> 0829-37-3811</t>
  </si>
  <si>
    <t xml:space="preserve"> 0829-37-3810</t>
  </si>
  <si>
    <t>739-0047</t>
  </si>
  <si>
    <t xml:space="preserve"> 082-431-5171</t>
  </si>
  <si>
    <t xml:space="preserve"> 082-431-5170</t>
  </si>
  <si>
    <t>739-1101</t>
  </si>
  <si>
    <t xml:space="preserve"> 0826-45-7781</t>
  </si>
  <si>
    <t xml:space="preserve"> 0826-45-7780</t>
  </si>
  <si>
    <t>739-1411</t>
  </si>
  <si>
    <t xml:space="preserve"> 082-828-7151</t>
  </si>
  <si>
    <t xml:space="preserve"> 082-828-7150</t>
  </si>
  <si>
    <t>高陽店</t>
  </si>
  <si>
    <t>739-1754</t>
  </si>
  <si>
    <t>広島県広島市安佐北区小河原町１４８－１</t>
  </si>
  <si>
    <t xml:space="preserve"> 082-844-1381</t>
  </si>
  <si>
    <t xml:space="preserve"> 082-840-1153</t>
  </si>
  <si>
    <t>739-2615</t>
  </si>
  <si>
    <t xml:space="preserve"> 0823-83-6411</t>
  </si>
  <si>
    <t xml:space="preserve"> 0823-83-6410</t>
  </si>
  <si>
    <t>南岩国店</t>
  </si>
  <si>
    <t>740-0034</t>
  </si>
  <si>
    <t>山口</t>
  </si>
  <si>
    <t>山口県岩国市南岩国町３丁目３２－２</t>
  </si>
  <si>
    <t xml:space="preserve"> 0827-31-1153</t>
  </si>
  <si>
    <t xml:space="preserve"> 0827-34-0064</t>
  </si>
  <si>
    <t>742-0021</t>
  </si>
  <si>
    <t xml:space="preserve"> 0820-24-1181</t>
  </si>
  <si>
    <t xml:space="preserve"> 0820-24-1180</t>
  </si>
  <si>
    <t>柳井店</t>
  </si>
  <si>
    <t>742-0031</t>
  </si>
  <si>
    <t>山口県柳井市南町４丁目４－６５</t>
  </si>
  <si>
    <t xml:space="preserve"> 0820-22-5914</t>
  </si>
  <si>
    <t xml:space="preserve"> 0820-24-0006</t>
  </si>
  <si>
    <t>玖珂店</t>
  </si>
  <si>
    <t>742-0300</t>
  </si>
  <si>
    <t xml:space="preserve"> 0827-82-7300</t>
  </si>
  <si>
    <t xml:space="preserve"> 0827-81-1706</t>
  </si>
  <si>
    <t>742-1101</t>
  </si>
  <si>
    <t xml:space="preserve"> 0820-57-2011</t>
  </si>
  <si>
    <t xml:space="preserve"> 0820-57-2010</t>
  </si>
  <si>
    <t>742-1517</t>
  </si>
  <si>
    <t xml:space="preserve"> 0820-51-1021</t>
  </si>
  <si>
    <t xml:space="preserve"> 0820-51-1020</t>
  </si>
  <si>
    <t>光井店</t>
  </si>
  <si>
    <t>743-0011</t>
  </si>
  <si>
    <t>山口県光市光井３丁目９－３０</t>
  </si>
  <si>
    <t xml:space="preserve"> 0833-72-7136</t>
  </si>
  <si>
    <t xml:space="preserve"> 0833-74-0048</t>
  </si>
  <si>
    <t>744-0041</t>
  </si>
  <si>
    <t xml:space="preserve"> 0833-47-0651</t>
  </si>
  <si>
    <t xml:space="preserve"> 0833-47-0650</t>
  </si>
  <si>
    <t>下松店</t>
  </si>
  <si>
    <t>744-0071</t>
  </si>
  <si>
    <t>山口県下松市清瀬町１丁目４番１０号</t>
  </si>
  <si>
    <t xml:space="preserve"> 0833-43-2226</t>
  </si>
  <si>
    <t xml:space="preserve"> 0833-45-0236</t>
  </si>
  <si>
    <t>746-0084</t>
  </si>
  <si>
    <t xml:space="preserve"> 0834-61-3781</t>
  </si>
  <si>
    <t xml:space="preserve"> 0834-61-3810</t>
  </si>
  <si>
    <t>牟礼店</t>
  </si>
  <si>
    <t>747-0013</t>
  </si>
  <si>
    <t>山口県防府市沖今宿１丁目２１番２２号</t>
  </si>
  <si>
    <t xml:space="preserve"> 0835-25-1725</t>
  </si>
  <si>
    <t xml:space="preserve"> 0835-26-1195</t>
  </si>
  <si>
    <t>防府店</t>
  </si>
  <si>
    <t>747-0849</t>
  </si>
  <si>
    <t>山口県防府市西仁井令１丁目７番１号</t>
  </si>
  <si>
    <t xml:space="preserve"> 0835-22-5541</t>
  </si>
  <si>
    <t xml:space="preserve"> 0835-26-1194</t>
  </si>
  <si>
    <t>下関店</t>
  </si>
  <si>
    <t>750-0006</t>
  </si>
  <si>
    <t>山口県下関市南部町２２－１１</t>
  </si>
  <si>
    <t xml:space="preserve"> 083-222-6985</t>
  </si>
  <si>
    <t xml:space="preserve"> 083-228-1213</t>
  </si>
  <si>
    <t>750-0424</t>
  </si>
  <si>
    <t xml:space="preserve"> 083-767-0361</t>
  </si>
  <si>
    <t xml:space="preserve"> 083-767-0360</t>
  </si>
  <si>
    <t>川中店</t>
  </si>
  <si>
    <t>751-0855</t>
  </si>
  <si>
    <t>山口県下関市稗田西町１１－２０</t>
  </si>
  <si>
    <t xml:space="preserve"> 083-252-2166</t>
  </si>
  <si>
    <t xml:space="preserve"> 083-251-1037</t>
  </si>
  <si>
    <t>長府店</t>
  </si>
  <si>
    <t>752-0915</t>
  </si>
  <si>
    <t>山口県下関市王司本町３丁目２番１７号</t>
  </si>
  <si>
    <t xml:space="preserve"> 083-248-4100</t>
  </si>
  <si>
    <t xml:space="preserve"> 083-249-1213</t>
  </si>
  <si>
    <t>752-0985</t>
  </si>
  <si>
    <t xml:space="preserve"> 083-241-0951</t>
  </si>
  <si>
    <t xml:space="preserve"> 083-241-0953</t>
  </si>
  <si>
    <t>大内店</t>
  </si>
  <si>
    <t>753-0211</t>
  </si>
  <si>
    <t>山口県山口市大字大内長野５６９－１</t>
  </si>
  <si>
    <t xml:space="preserve"> 083-927-5961</t>
  </si>
  <si>
    <t xml:space="preserve"> 083-941-1019</t>
  </si>
  <si>
    <t>山口店</t>
  </si>
  <si>
    <t>753-0871</t>
  </si>
  <si>
    <t xml:space="preserve"> 083-925-0762</t>
  </si>
  <si>
    <t xml:space="preserve"> 083-934-1182</t>
  </si>
  <si>
    <t>小郡店</t>
  </si>
  <si>
    <t>754-0022</t>
  </si>
  <si>
    <t xml:space="preserve"> 083-972-9338</t>
  </si>
  <si>
    <t xml:space="preserve"> 083-974-1098</t>
  </si>
  <si>
    <t>754-0211</t>
  </si>
  <si>
    <t xml:space="preserve"> 08396-2-6060</t>
  </si>
  <si>
    <t xml:space="preserve"> 08396-2-6061</t>
  </si>
  <si>
    <t>阿知須店</t>
  </si>
  <si>
    <t>754-1200</t>
  </si>
  <si>
    <t xml:space="preserve"> 0836-65-5910</t>
  </si>
  <si>
    <t xml:space="preserve"> 0836-66-0019</t>
  </si>
  <si>
    <t>宇部店</t>
  </si>
  <si>
    <t>755-0055</t>
  </si>
  <si>
    <t>山口県宇部市居能町２丁目１４６１－２</t>
  </si>
  <si>
    <t xml:space="preserve"> 0836-34-4673</t>
  </si>
  <si>
    <t xml:space="preserve"> 0836-29-0092</t>
  </si>
  <si>
    <t>756-0091</t>
  </si>
  <si>
    <t xml:space="preserve"> 0836-81-2171</t>
  </si>
  <si>
    <t xml:space="preserve"> 0836-81-2170</t>
  </si>
  <si>
    <t>南萩店</t>
  </si>
  <si>
    <t>758-0061</t>
  </si>
  <si>
    <t>山口県萩市大字椿２２６３</t>
  </si>
  <si>
    <t xml:space="preserve"> 0838-26-7111</t>
  </si>
  <si>
    <t xml:space="preserve"> 0838-24-1022</t>
  </si>
  <si>
    <t>759-1512</t>
  </si>
  <si>
    <t xml:space="preserve"> 083-956-2071</t>
  </si>
  <si>
    <t xml:space="preserve"> 083-956-2070</t>
  </si>
  <si>
    <t>759-2212</t>
  </si>
  <si>
    <t xml:space="preserve"> 0837-54-3681</t>
  </si>
  <si>
    <t xml:space="preserve"> 0837-54-3680</t>
  </si>
  <si>
    <t>長門店</t>
  </si>
  <si>
    <t>759-4101</t>
  </si>
  <si>
    <t>山口県長門市大字東深川８２１番地</t>
  </si>
  <si>
    <t xml:space="preserve"> 0837-22-5811</t>
  </si>
  <si>
    <t xml:space="preserve"> 0837-23-1010</t>
  </si>
  <si>
    <t>759-4505</t>
  </si>
  <si>
    <t xml:space="preserve"> 0837-33-3051</t>
  </si>
  <si>
    <t xml:space="preserve"> 0837-33-3052</t>
  </si>
  <si>
    <t xml:space="preserve"> 083-775-0911</t>
  </si>
  <si>
    <t xml:space="preserve"> 083-775-0910</t>
  </si>
  <si>
    <t>香川</t>
  </si>
  <si>
    <t>765-0032</t>
  </si>
  <si>
    <t xml:space="preserve"> 0877-64-0231</t>
  </si>
  <si>
    <t xml:space="preserve"> 0877-64-0650</t>
  </si>
  <si>
    <t>769-1501</t>
  </si>
  <si>
    <t xml:space="preserve"> 0875-62-1811</t>
  </si>
  <si>
    <t xml:space="preserve"> 0875-62-1810</t>
  </si>
  <si>
    <t>さぬき店</t>
  </si>
  <si>
    <t>772-0022</t>
  </si>
  <si>
    <t>徳島</t>
  </si>
  <si>
    <t xml:space="preserve"> 088-684-5071</t>
  </si>
  <si>
    <t xml:space="preserve"> 088-684-5070</t>
  </si>
  <si>
    <t>800-0051</t>
  </si>
  <si>
    <t>福岡</t>
  </si>
  <si>
    <t>北九州市門司区下馬寄２ー８</t>
  </si>
  <si>
    <t xml:space="preserve"> 093-381-2004</t>
  </si>
  <si>
    <t xml:space="preserve"> 093-382-1325</t>
  </si>
  <si>
    <t>800-0228</t>
  </si>
  <si>
    <t>北九州市小倉南区長野３丁目２２７３ー１</t>
  </si>
  <si>
    <t xml:space="preserve"> 093-471-2320</t>
  </si>
  <si>
    <t xml:space="preserve"> 093-474-1025</t>
  </si>
  <si>
    <t>800-0255</t>
  </si>
  <si>
    <t xml:space="preserve"> 093-932-0161</t>
  </si>
  <si>
    <t xml:space="preserve"> 093-932-0160</t>
  </si>
  <si>
    <t>800-0314</t>
  </si>
  <si>
    <t>福岡県京都郡苅田町幸町６－７</t>
  </si>
  <si>
    <t xml:space="preserve"> 093-435-0721</t>
  </si>
  <si>
    <t xml:space="preserve"> 093-435-0720</t>
  </si>
  <si>
    <t>801-0841</t>
  </si>
  <si>
    <t>北九州市門司区西海岸３丁目１７９番４</t>
  </si>
  <si>
    <t xml:space="preserve"> 093-332-1061</t>
  </si>
  <si>
    <t xml:space="preserve"> 093-322-1161</t>
  </si>
  <si>
    <t>802-0012</t>
  </si>
  <si>
    <t xml:space="preserve"> 093-512-8531</t>
  </si>
  <si>
    <t xml:space="preserve"> 093-512-8530</t>
  </si>
  <si>
    <t>802-0022</t>
  </si>
  <si>
    <t xml:space="preserve"> 093-512-6571</t>
  </si>
  <si>
    <t xml:space="preserve"> 093-512-6570</t>
  </si>
  <si>
    <t>徳力店</t>
  </si>
  <si>
    <t>802-0972</t>
  </si>
  <si>
    <t>北九州市小倉南区守恒１丁目１－１</t>
  </si>
  <si>
    <t xml:space="preserve"> 093-962-8501</t>
  </si>
  <si>
    <t xml:space="preserve"> 093-965-1025</t>
  </si>
  <si>
    <t>井堀店</t>
  </si>
  <si>
    <t>803-0835</t>
  </si>
  <si>
    <t>北九州市小倉北区井堀一丁目２－１</t>
  </si>
  <si>
    <t xml:space="preserve"> 093-583-6001</t>
  </si>
  <si>
    <t xml:space="preserve"> 093-562-1225</t>
  </si>
  <si>
    <t>中井店</t>
  </si>
  <si>
    <t>803-0836</t>
  </si>
  <si>
    <t>北九州市小倉北区中井１丁目４１ー１</t>
  </si>
  <si>
    <t xml:space="preserve"> 093-592-7333</t>
  </si>
  <si>
    <t xml:space="preserve"> 093-562-0725</t>
  </si>
  <si>
    <t>804-0023</t>
  </si>
  <si>
    <t xml:space="preserve"> 093-873-0201</t>
  </si>
  <si>
    <t xml:space="preserve"> 093-873-0200</t>
  </si>
  <si>
    <t>戸畑店</t>
  </si>
  <si>
    <t>804-0064</t>
  </si>
  <si>
    <t>北九州市戸畑区沖台２丁目６番１６号</t>
  </si>
  <si>
    <t xml:space="preserve"> 093-881-8211</t>
  </si>
  <si>
    <t xml:space="preserve"> 093-873-1107</t>
  </si>
  <si>
    <t>805-0071</t>
  </si>
  <si>
    <t xml:space="preserve"> 093-663-2681</t>
  </si>
  <si>
    <t xml:space="preserve"> 093-663-2680</t>
  </si>
  <si>
    <t>807-0025</t>
  </si>
  <si>
    <t xml:space="preserve"> 093-203-1131</t>
  </si>
  <si>
    <t xml:space="preserve"> 093-203-1130</t>
  </si>
  <si>
    <t>807-0078</t>
  </si>
  <si>
    <t xml:space="preserve"> 093-614-5261</t>
  </si>
  <si>
    <t xml:space="preserve"> 093-614-5260</t>
  </si>
  <si>
    <t>折尾店</t>
  </si>
  <si>
    <t>807-0863</t>
  </si>
  <si>
    <t>北九州市八幡西区大膳１丁目１－１</t>
  </si>
  <si>
    <t xml:space="preserve"> 093-603-4701</t>
  </si>
  <si>
    <t xml:space="preserve"> 093-693-1065</t>
  </si>
  <si>
    <t>馬場山店</t>
  </si>
  <si>
    <t>807-1132</t>
  </si>
  <si>
    <t>北九州市八幡西区馬場山西－５</t>
  </si>
  <si>
    <t xml:space="preserve"> 093-618-1008</t>
  </si>
  <si>
    <t xml:space="preserve"> 093-619-1025</t>
  </si>
  <si>
    <t>807-1264</t>
  </si>
  <si>
    <t xml:space="preserve"> 093-619-0131</t>
  </si>
  <si>
    <t xml:space="preserve"> 093-619-0130</t>
  </si>
  <si>
    <t>807-1312</t>
  </si>
  <si>
    <t xml:space="preserve"> 0949-43-2751</t>
  </si>
  <si>
    <t xml:space="preserve"> 0949-43-2750</t>
  </si>
  <si>
    <t>808-0136</t>
  </si>
  <si>
    <t xml:space="preserve"> 093-742-6851</t>
  </si>
  <si>
    <t xml:space="preserve"> 093-742-6850</t>
  </si>
  <si>
    <t>808-0137</t>
  </si>
  <si>
    <t xml:space="preserve"> 093-695-1511</t>
  </si>
  <si>
    <t xml:space="preserve"> 093-695-1510</t>
  </si>
  <si>
    <t>811-0101</t>
  </si>
  <si>
    <t xml:space="preserve"> 092-940-6061</t>
  </si>
  <si>
    <t xml:space="preserve"> 092-940-6060</t>
  </si>
  <si>
    <t>新宮店</t>
  </si>
  <si>
    <t>811-0111</t>
  </si>
  <si>
    <t>福岡県粕屋郡新宮町大字三代８６４</t>
  </si>
  <si>
    <t xml:space="preserve"> 092-963-1851</t>
  </si>
  <si>
    <t xml:space="preserve"> 092-941-2036</t>
  </si>
  <si>
    <t>和白店</t>
  </si>
  <si>
    <t>811-0202</t>
  </si>
  <si>
    <t>福岡市東区和白２丁目１１－３５</t>
  </si>
  <si>
    <t xml:space="preserve"> 092-606-8881</t>
  </si>
  <si>
    <t xml:space="preserve"> 092-605-1066</t>
  </si>
  <si>
    <t>那珂川店</t>
  </si>
  <si>
    <t>811-1203</t>
  </si>
  <si>
    <t xml:space="preserve"> 092-952-6301</t>
  </si>
  <si>
    <t xml:space="preserve"> 092-951-1014</t>
  </si>
  <si>
    <t>811-1255</t>
  </si>
  <si>
    <t xml:space="preserve"> 092-951-0151</t>
  </si>
  <si>
    <t xml:space="preserve"> 092-951-0150</t>
  </si>
  <si>
    <t>志免店</t>
  </si>
  <si>
    <t>811-2202</t>
  </si>
  <si>
    <t xml:space="preserve"> 092-937-1931</t>
  </si>
  <si>
    <t xml:space="preserve"> 092-931-2131</t>
  </si>
  <si>
    <t xml:space="preserve"> 092-957-8031</t>
  </si>
  <si>
    <t xml:space="preserve"> 092-957-8030</t>
  </si>
  <si>
    <t>篠栗店</t>
  </si>
  <si>
    <t>811-2412</t>
  </si>
  <si>
    <t>福岡県粕屋郡篠栗町大字乙犬１０１４－１</t>
  </si>
  <si>
    <t xml:space="preserve"> 092-947-7501</t>
  </si>
  <si>
    <t xml:space="preserve"> 092-931-5013</t>
  </si>
  <si>
    <t>811-2502</t>
  </si>
  <si>
    <t xml:space="preserve"> 092-976-3441</t>
  </si>
  <si>
    <t xml:space="preserve"> 092-976-3440</t>
  </si>
  <si>
    <t>古賀店</t>
  </si>
  <si>
    <t>811-3112</t>
  </si>
  <si>
    <t>福岡県古賀市花見東４丁目１ー１</t>
  </si>
  <si>
    <t xml:space="preserve"> 092-942-6668</t>
  </si>
  <si>
    <t xml:space="preserve"> 092-941-1011</t>
  </si>
  <si>
    <t>南宗像店</t>
  </si>
  <si>
    <t>811-3414</t>
  </si>
  <si>
    <t>福岡県宗像市光岡１０５－１</t>
  </si>
  <si>
    <t xml:space="preserve"> 0940-36-8601</t>
  </si>
  <si>
    <t xml:space="preserve"> 0940-34-2130</t>
  </si>
  <si>
    <t xml:space="preserve"> 0940-34-8011</t>
  </si>
  <si>
    <t xml:space="preserve"> 0940-34-8140</t>
  </si>
  <si>
    <t>811-4234</t>
  </si>
  <si>
    <t xml:space="preserve"> 093-281-2611</t>
  </si>
  <si>
    <t xml:space="preserve"> 093-281-2610</t>
  </si>
  <si>
    <t>812-0001</t>
  </si>
  <si>
    <t xml:space="preserve"> 092-611-0271</t>
  </si>
  <si>
    <t xml:space="preserve"> 092-611-0332</t>
  </si>
  <si>
    <t>812-0871</t>
  </si>
  <si>
    <t xml:space="preserve"> 092-588-6701</t>
  </si>
  <si>
    <t xml:space="preserve"> 092-588-6703</t>
  </si>
  <si>
    <t>812-0885</t>
  </si>
  <si>
    <t xml:space="preserve"> 092-915-1181</t>
  </si>
  <si>
    <t xml:space="preserve"> 092-915-1180</t>
  </si>
  <si>
    <t>多田羅店</t>
  </si>
  <si>
    <t>813-0033</t>
  </si>
  <si>
    <t>福岡市東区多々良２丁目１０－４５</t>
  </si>
  <si>
    <t xml:space="preserve"> 092-661-2002</t>
  </si>
  <si>
    <t xml:space="preserve"> 092-663-1045</t>
  </si>
  <si>
    <t>堤店</t>
  </si>
  <si>
    <t>814-0153</t>
  </si>
  <si>
    <t>福岡市城南区樋井川６丁目２９－２０</t>
  </si>
  <si>
    <t xml:space="preserve"> 092-871-9511</t>
  </si>
  <si>
    <t xml:space="preserve"> 092-872-1071</t>
  </si>
  <si>
    <t>春日店</t>
  </si>
  <si>
    <t>816-0813</t>
  </si>
  <si>
    <t>福岡県春日市惣利６丁目１３０番地</t>
  </si>
  <si>
    <t xml:space="preserve"> 092-595-5961</t>
  </si>
  <si>
    <t xml:space="preserve"> 092-583-5020</t>
  </si>
  <si>
    <t>816-0849</t>
  </si>
  <si>
    <t xml:space="preserve"> 092-589-1051</t>
  </si>
  <si>
    <t xml:space="preserve"> 092-589-1050</t>
  </si>
  <si>
    <t>818-0025</t>
  </si>
  <si>
    <t xml:space="preserve"> 092-919-0771</t>
  </si>
  <si>
    <t xml:space="preserve"> 092-919-0780</t>
  </si>
  <si>
    <t>西福岡店</t>
  </si>
  <si>
    <t>819-0041</t>
  </si>
  <si>
    <t>福岡市西区拾六町２丁目１－１</t>
  </si>
  <si>
    <t xml:space="preserve"> 092-883-3081</t>
  </si>
  <si>
    <t xml:space="preserve"> 092-892-1069</t>
  </si>
  <si>
    <t>今宿店</t>
  </si>
  <si>
    <t>819-0161</t>
  </si>
  <si>
    <t>福岡市西区今宿東２丁目１０ー２３</t>
  </si>
  <si>
    <t xml:space="preserve"> 092-806-5832</t>
  </si>
  <si>
    <t xml:space="preserve"> 092-805-1004</t>
  </si>
  <si>
    <t>819-0386</t>
  </si>
  <si>
    <t xml:space="preserve"> 092-805-7181</t>
  </si>
  <si>
    <t xml:space="preserve"> 092-805-7180</t>
  </si>
  <si>
    <t>前原店</t>
  </si>
  <si>
    <t>819-1123</t>
  </si>
  <si>
    <t xml:space="preserve"> 092-321-3380</t>
  </si>
  <si>
    <t xml:space="preserve"> 092-321-3381</t>
  </si>
  <si>
    <t>819-1621</t>
  </si>
  <si>
    <t xml:space="preserve"> 092-331-6661</t>
  </si>
  <si>
    <t xml:space="preserve"> 092-331-6663</t>
  </si>
  <si>
    <t>飯塚南店</t>
  </si>
  <si>
    <t>820-0084</t>
  </si>
  <si>
    <t xml:space="preserve"> 0948-25-7361</t>
  </si>
  <si>
    <t xml:space="preserve"> 0948-26-1208</t>
  </si>
  <si>
    <t>820-0111</t>
  </si>
  <si>
    <t xml:space="preserve"> 0948-31-1181</t>
  </si>
  <si>
    <t xml:space="preserve"> 0948-31-1180</t>
  </si>
  <si>
    <t>820-0203</t>
  </si>
  <si>
    <t xml:space="preserve"> 0948-20-5031</t>
  </si>
  <si>
    <t xml:space="preserve"> 0948-20-5030</t>
  </si>
  <si>
    <t>頴田店</t>
  </si>
  <si>
    <t>820-1113</t>
  </si>
  <si>
    <t xml:space="preserve"> 09496-2-8500</t>
  </si>
  <si>
    <t xml:space="preserve"> 09496-6-3333</t>
  </si>
  <si>
    <t>直方店</t>
  </si>
  <si>
    <t>822-0007</t>
  </si>
  <si>
    <t>福岡県直方市大字下境８７６－１　　（ＨＩ館）</t>
  </si>
  <si>
    <t xml:space="preserve"> 0949-28-1611</t>
  </si>
  <si>
    <t xml:space="preserve"> 0949-29-1207</t>
  </si>
  <si>
    <t>823-0003</t>
  </si>
  <si>
    <t xml:space="preserve"> 0949-34-5061</t>
  </si>
  <si>
    <t xml:space="preserve"> 0949-34-5060</t>
  </si>
  <si>
    <t>824-0033</t>
  </si>
  <si>
    <t>福岡県行橋市北泉２丁目３０－１　（ＨＩ館）</t>
  </si>
  <si>
    <t xml:space="preserve"> 0930-25-1038</t>
  </si>
  <si>
    <t xml:space="preserve"> 0930-26-1225</t>
  </si>
  <si>
    <t>824-0107</t>
  </si>
  <si>
    <t xml:space="preserve"> 0930-33-1711</t>
  </si>
  <si>
    <t xml:space="preserve"> 0930-33-1710</t>
  </si>
  <si>
    <t>田川店</t>
  </si>
  <si>
    <t>826-0042</t>
  </si>
  <si>
    <t>福岡県田川市大字川宮１７２０－１</t>
  </si>
  <si>
    <t xml:space="preserve"> 0947-42-3336</t>
  </si>
  <si>
    <t xml:space="preserve"> 0947-47-1125</t>
  </si>
  <si>
    <t>827-0002</t>
  </si>
  <si>
    <t xml:space="preserve"> 0947-49-3011</t>
  </si>
  <si>
    <t xml:space="preserve"> 0947-49-3022</t>
  </si>
  <si>
    <t>豊前店</t>
  </si>
  <si>
    <t>828-0025</t>
  </si>
  <si>
    <t>福岡県豊前市大字恒富８６</t>
  </si>
  <si>
    <t xml:space="preserve"> 0979-82-1234</t>
  </si>
  <si>
    <t xml:space="preserve"> 0979-84-0017</t>
  </si>
  <si>
    <t>828-0062</t>
  </si>
  <si>
    <t xml:space="preserve"> 0979-84-1191</t>
  </si>
  <si>
    <t xml:space="preserve"> 0979-84-1190</t>
  </si>
  <si>
    <t>829-0341</t>
  </si>
  <si>
    <t xml:space="preserve"> 0930-56-5851</t>
  </si>
  <si>
    <t xml:space="preserve"> 0930-56-5850</t>
  </si>
  <si>
    <t>830-0062</t>
  </si>
  <si>
    <t xml:space="preserve"> 0942-51-4341</t>
  </si>
  <si>
    <t xml:space="preserve"> 0942-51-4340</t>
  </si>
  <si>
    <t>830-0214</t>
  </si>
  <si>
    <t xml:space="preserve"> 0942-51-5301</t>
  </si>
  <si>
    <t xml:space="preserve"> 0942-51-5300</t>
  </si>
  <si>
    <t>830-1224</t>
  </si>
  <si>
    <t xml:space="preserve"> 0942-23-2231</t>
  </si>
  <si>
    <t xml:space="preserve"> 0942-23-2230</t>
  </si>
  <si>
    <t>柳川店</t>
  </si>
  <si>
    <t>832-0807</t>
  </si>
  <si>
    <t xml:space="preserve"> 0944-73-6001</t>
  </si>
  <si>
    <t xml:space="preserve"> 0944-75-1040</t>
  </si>
  <si>
    <t>833-0054</t>
  </si>
  <si>
    <t>福岡県筑後市大字蔵数２０７番地</t>
  </si>
  <si>
    <t xml:space="preserve"> 0942-54-0211</t>
  </si>
  <si>
    <t xml:space="preserve"> 0942-51-1006</t>
  </si>
  <si>
    <t>八女店</t>
  </si>
  <si>
    <t>834-0063</t>
  </si>
  <si>
    <t>福岡県八女市大字本村７９番地－１</t>
  </si>
  <si>
    <t xml:space="preserve"> 0943-23-7181</t>
  </si>
  <si>
    <t xml:space="preserve"> 0943-25-1101</t>
  </si>
  <si>
    <t>834-0115</t>
  </si>
  <si>
    <t xml:space="preserve"> 0943-33-1351</t>
  </si>
  <si>
    <t xml:space="preserve"> 0943-33-1350</t>
  </si>
  <si>
    <t>834-1221</t>
  </si>
  <si>
    <t xml:space="preserve"> 0943-42-9101</t>
  </si>
  <si>
    <t xml:space="preserve"> 0943-42-9100</t>
  </si>
  <si>
    <t>835-0024</t>
  </si>
  <si>
    <t xml:space="preserve"> 0944-67-7030</t>
  </si>
  <si>
    <t xml:space="preserve"> 0944-67-7031</t>
  </si>
  <si>
    <t>大牟田店</t>
  </si>
  <si>
    <t>836-0004</t>
  </si>
  <si>
    <t xml:space="preserve"> 0944-52-4661</t>
  </si>
  <si>
    <t xml:space="preserve"> 0944-41-1237</t>
  </si>
  <si>
    <t>甘木店</t>
  </si>
  <si>
    <t>838-0062</t>
  </si>
  <si>
    <t xml:space="preserve"> 0946-22-3461</t>
  </si>
  <si>
    <t xml:space="preserve"> 0946-26-1051</t>
  </si>
  <si>
    <t>838-0068</t>
  </si>
  <si>
    <t xml:space="preserve"> 0946-21-0421</t>
  </si>
  <si>
    <t xml:space="preserve"> 0946-26-0363</t>
  </si>
  <si>
    <t>838-0214</t>
  </si>
  <si>
    <t xml:space="preserve"> 0946-42-8121</t>
  </si>
  <si>
    <t xml:space="preserve"> 0946-42-8120</t>
  </si>
  <si>
    <t>838-1514</t>
  </si>
  <si>
    <t xml:space="preserve"> 0946-26-2055</t>
  </si>
  <si>
    <t xml:space="preserve"> 0946-26-2057</t>
  </si>
  <si>
    <t>旗崎店</t>
  </si>
  <si>
    <t>839-0841</t>
  </si>
  <si>
    <t>福岡県久留米市御井旗崎５丁目８－２４</t>
  </si>
  <si>
    <t xml:space="preserve"> 0942-44-1166</t>
  </si>
  <si>
    <t xml:space="preserve"> 0942-41-1036</t>
  </si>
  <si>
    <t>吉井店</t>
  </si>
  <si>
    <t>839-1321</t>
  </si>
  <si>
    <t xml:space="preserve"> 0943-75-2118</t>
  </si>
  <si>
    <t xml:space="preserve"> 0943-74-2011</t>
  </si>
  <si>
    <t>840-2205</t>
  </si>
  <si>
    <t>佐賀</t>
  </si>
  <si>
    <t xml:space="preserve"> 0952-34-7811</t>
  </si>
  <si>
    <t xml:space="preserve"> 0952-34-7810</t>
  </si>
  <si>
    <t>841-0046</t>
  </si>
  <si>
    <t xml:space="preserve"> 0942-84-4891</t>
  </si>
  <si>
    <t xml:space="preserve"> 0942-84-4890</t>
  </si>
  <si>
    <t>武雄店</t>
  </si>
  <si>
    <t>843-0022</t>
  </si>
  <si>
    <t>佐賀県武雄市武雄町大字武雄３９２１番地</t>
  </si>
  <si>
    <t xml:space="preserve"> 0954-22-0725</t>
  </si>
  <si>
    <t xml:space="preserve"> 0954-20-1248</t>
  </si>
  <si>
    <t>844-0027</t>
  </si>
  <si>
    <t xml:space="preserve"> 0955-41-1711</t>
  </si>
  <si>
    <t xml:space="preserve"> 0955-41-1710</t>
  </si>
  <si>
    <t>845-0002</t>
  </si>
  <si>
    <t xml:space="preserve"> 0952-71-1841</t>
  </si>
  <si>
    <t xml:space="preserve"> 0952-71-1840</t>
  </si>
  <si>
    <t>846-0003</t>
  </si>
  <si>
    <t xml:space="preserve"> 0952-75-8471</t>
  </si>
  <si>
    <t xml:space="preserve"> 0952-75-8470</t>
  </si>
  <si>
    <t>847-0084</t>
  </si>
  <si>
    <t>佐賀県唐津市和多田西山９－５　 （ＨＩ館）</t>
  </si>
  <si>
    <t xml:space="preserve"> 0955-73-1555</t>
  </si>
  <si>
    <t xml:space="preserve"> 0955-70-1090</t>
  </si>
  <si>
    <t>伊万里店</t>
  </si>
  <si>
    <t>848-0035</t>
  </si>
  <si>
    <t>佐賀県伊万里市二里町大里乙３５６２</t>
  </si>
  <si>
    <t xml:space="preserve"> 0955-23-8057</t>
  </si>
  <si>
    <t xml:space="preserve"> 0955-20-1023</t>
  </si>
  <si>
    <t>中原店</t>
  </si>
  <si>
    <t>849-0102</t>
  </si>
  <si>
    <t xml:space="preserve"> 0942-94-5370</t>
  </si>
  <si>
    <t xml:space="preserve"> 0942-81-8060</t>
  </si>
  <si>
    <t>牛津店</t>
  </si>
  <si>
    <t>849-0302</t>
  </si>
  <si>
    <t xml:space="preserve"> 0952-66-6051</t>
  </si>
  <si>
    <t xml:space="preserve"> 0952-51-5016</t>
  </si>
  <si>
    <t>佐賀店</t>
  </si>
  <si>
    <t>849-0924</t>
  </si>
  <si>
    <t>佐賀県佐賀市新中町５－５</t>
  </si>
  <si>
    <t xml:space="preserve"> 0952-30-4161</t>
  </si>
  <si>
    <t xml:space="preserve"> 0952-34-1068</t>
  </si>
  <si>
    <t>鹿島店</t>
  </si>
  <si>
    <t>849-1303</t>
  </si>
  <si>
    <t>佐賀県鹿島市大字森１６－１</t>
  </si>
  <si>
    <t xml:space="preserve"> 0954-63-1177</t>
  </si>
  <si>
    <t xml:space="preserve"> 0954-63-9003</t>
  </si>
  <si>
    <t>850-0067</t>
  </si>
  <si>
    <t>長崎</t>
  </si>
  <si>
    <t xml:space="preserve"> 095-833-4301</t>
  </si>
  <si>
    <t xml:space="preserve"> 095-833-4302</t>
  </si>
  <si>
    <t>850-0994</t>
  </si>
  <si>
    <t xml:space="preserve"> 095-832-5931</t>
  </si>
  <si>
    <t xml:space="preserve"> 095-832-5930</t>
  </si>
  <si>
    <t>851-0113</t>
  </si>
  <si>
    <t xml:space="preserve"> 095-813-3661</t>
  </si>
  <si>
    <t xml:space="preserve"> 095-813-3663</t>
  </si>
  <si>
    <t>851-2108</t>
  </si>
  <si>
    <t xml:space="preserve"> 095-886-8661</t>
  </si>
  <si>
    <t xml:space="preserve"> 095-886-8660</t>
  </si>
  <si>
    <t>851-2213</t>
  </si>
  <si>
    <t xml:space="preserve"> 095-814-1861</t>
  </si>
  <si>
    <t xml:space="preserve"> 095-814-1862</t>
  </si>
  <si>
    <t>851-3101</t>
  </si>
  <si>
    <t xml:space="preserve"> 095-814-3351</t>
  </si>
  <si>
    <t xml:space="preserve"> 095-814-3350</t>
  </si>
  <si>
    <t>851-3422</t>
  </si>
  <si>
    <t xml:space="preserve"> 0959-29-7031</t>
  </si>
  <si>
    <t xml:space="preserve"> 0959-29-7030</t>
  </si>
  <si>
    <t>854-0035</t>
  </si>
  <si>
    <t xml:space="preserve"> 0957-35-1951</t>
  </si>
  <si>
    <t xml:space="preserve"> 0957-35-1950</t>
  </si>
  <si>
    <t>854-0302</t>
  </si>
  <si>
    <t xml:space="preserve"> 0957-27-5811</t>
  </si>
  <si>
    <t xml:space="preserve"> 0957-27-5821</t>
  </si>
  <si>
    <t>855-0036</t>
  </si>
  <si>
    <t xml:space="preserve"> 0957-62-0035</t>
  </si>
  <si>
    <t xml:space="preserve"> 0957-62-0037</t>
  </si>
  <si>
    <t>大村店</t>
  </si>
  <si>
    <t>856-0814</t>
  </si>
  <si>
    <t>長崎県大村市松並２丁目８９２</t>
  </si>
  <si>
    <t xml:space="preserve"> 0957-53-2155</t>
  </si>
  <si>
    <t xml:space="preserve"> 0957-27-3006</t>
  </si>
  <si>
    <t>856-0828</t>
  </si>
  <si>
    <t xml:space="preserve"> 0957-48-5681</t>
  </si>
  <si>
    <t xml:space="preserve"> 0957-48-5680</t>
  </si>
  <si>
    <t>佐々店</t>
  </si>
  <si>
    <t>857-0322</t>
  </si>
  <si>
    <t>長崎県北松浦郡佐々町松瀬免１４－１</t>
  </si>
  <si>
    <t xml:space="preserve"> 0956-63-5911</t>
  </si>
  <si>
    <t xml:space="preserve"> 0956-41-1077</t>
  </si>
  <si>
    <t>857-0852</t>
  </si>
  <si>
    <t xml:space="preserve"> 0956-46-5581</t>
  </si>
  <si>
    <t xml:space="preserve"> 0956-46-5582</t>
  </si>
  <si>
    <t>859-0113</t>
  </si>
  <si>
    <t xml:space="preserve"> 0957-27-7601</t>
  </si>
  <si>
    <t xml:space="preserve"> 0957-27-7600</t>
  </si>
  <si>
    <t>諫早店</t>
  </si>
  <si>
    <t>859-0402</t>
  </si>
  <si>
    <t xml:space="preserve"> 0957-43-7021</t>
  </si>
  <si>
    <t xml:space="preserve"> 0957-27-2053</t>
  </si>
  <si>
    <t>859-1306</t>
  </si>
  <si>
    <t xml:space="preserve"> 0957-61-7151</t>
  </si>
  <si>
    <t xml:space="preserve"> 0957-61-7150</t>
  </si>
  <si>
    <t>859-2502</t>
  </si>
  <si>
    <t xml:space="preserve"> 0957-75-1310</t>
  </si>
  <si>
    <t xml:space="preserve"> 0957-75-1311</t>
  </si>
  <si>
    <t>859-3205</t>
  </si>
  <si>
    <t>長崎県佐世保市田の浦町４２４－１７</t>
  </si>
  <si>
    <t xml:space="preserve"> 0956-39-1165</t>
  </si>
  <si>
    <t xml:space="preserve"> 0956-26-5024</t>
  </si>
  <si>
    <t>859-3716</t>
  </si>
  <si>
    <t xml:space="preserve"> 0956-26-7671</t>
  </si>
  <si>
    <t xml:space="preserve"> 0956-26-7670</t>
  </si>
  <si>
    <t>859-4807</t>
  </si>
  <si>
    <t xml:space="preserve"> 0950-21-1501</t>
  </si>
  <si>
    <t xml:space="preserve"> 0950-21-1500</t>
  </si>
  <si>
    <t>859-5141</t>
  </si>
  <si>
    <t xml:space="preserve"> 0950-26-4011</t>
  </si>
  <si>
    <t xml:space="preserve"> 0950-26-4010</t>
  </si>
  <si>
    <t>859-6103</t>
  </si>
  <si>
    <t xml:space="preserve"> 0956-73-1515</t>
  </si>
  <si>
    <t xml:space="preserve"> 0956-73-1516</t>
  </si>
  <si>
    <t>北熊本店</t>
  </si>
  <si>
    <t>860-0083</t>
  </si>
  <si>
    <t>熊本</t>
  </si>
  <si>
    <t xml:space="preserve"> 096-352-1231</t>
  </si>
  <si>
    <t xml:space="preserve"> 096-311-1204</t>
  </si>
  <si>
    <t>黒髪店</t>
  </si>
  <si>
    <t>860-0862</t>
  </si>
  <si>
    <t xml:space="preserve"> 096-346-0700</t>
  </si>
  <si>
    <t xml:space="preserve"> 096-341-1072</t>
  </si>
  <si>
    <t>鹿本店</t>
  </si>
  <si>
    <t>861-0304</t>
  </si>
  <si>
    <t xml:space="preserve"> 0968-46-5100</t>
  </si>
  <si>
    <t xml:space="preserve"> 0968-42-3007</t>
  </si>
  <si>
    <t>861-0553</t>
  </si>
  <si>
    <t xml:space="preserve"> 0968-43-9811</t>
  </si>
  <si>
    <t xml:space="preserve"> 0968-43-9810</t>
  </si>
  <si>
    <t>861-1102</t>
  </si>
  <si>
    <t xml:space="preserve"> 096-345-5161</t>
  </si>
  <si>
    <t xml:space="preserve"> 096-345-5162</t>
  </si>
  <si>
    <t>861-1315</t>
  </si>
  <si>
    <t xml:space="preserve"> 0968-23-0111</t>
  </si>
  <si>
    <t xml:space="preserve"> 0968-23-0110</t>
  </si>
  <si>
    <t>861-2403</t>
  </si>
  <si>
    <t xml:space="preserve"> 096-292-2135</t>
  </si>
  <si>
    <t xml:space="preserve"> 096-292-2140</t>
  </si>
  <si>
    <t>861-4151</t>
  </si>
  <si>
    <t xml:space="preserve"> 096-311-3711</t>
  </si>
  <si>
    <t xml:space="preserve"> 096-311-3716</t>
  </si>
  <si>
    <t>861-4225</t>
  </si>
  <si>
    <t xml:space="preserve"> 0964-46-6071</t>
  </si>
  <si>
    <t xml:space="preserve"> 0964-46-6070</t>
  </si>
  <si>
    <t>861-4406</t>
  </si>
  <si>
    <t xml:space="preserve"> 0964-46-4171</t>
  </si>
  <si>
    <t xml:space="preserve"> 0964-46-4170</t>
  </si>
  <si>
    <t>健軍店</t>
  </si>
  <si>
    <t>862-0912</t>
  </si>
  <si>
    <t xml:space="preserve"> 096-369-3131</t>
  </si>
  <si>
    <t xml:space="preserve"> 096-331-1172</t>
  </si>
  <si>
    <t>江津店</t>
  </si>
  <si>
    <t>862-0942</t>
  </si>
  <si>
    <t xml:space="preserve"> 096-363-7250</t>
  </si>
  <si>
    <t xml:space="preserve"> 096-373-0024</t>
  </si>
  <si>
    <t>863-0049</t>
  </si>
  <si>
    <t xml:space="preserve"> 0969-27-6111</t>
  </si>
  <si>
    <t xml:space="preserve"> 0969-27-6110</t>
  </si>
  <si>
    <t>荒尾店</t>
  </si>
  <si>
    <t>864-0002</t>
  </si>
  <si>
    <t>熊本県荒尾市万田口ノ坪８８５－２</t>
  </si>
  <si>
    <t xml:space="preserve"> 0968-62-3725</t>
  </si>
  <si>
    <t xml:space="preserve"> 0968-69-1046</t>
  </si>
  <si>
    <t>864-0012</t>
  </si>
  <si>
    <t xml:space="preserve"> 0968-66-4931</t>
  </si>
  <si>
    <t xml:space="preserve"> 0968-66-4930</t>
  </si>
  <si>
    <t>865-0065</t>
  </si>
  <si>
    <t xml:space="preserve"> 0968-76-7051</t>
  </si>
  <si>
    <t xml:space="preserve"> 0968-76-7050</t>
  </si>
  <si>
    <t>866-0893</t>
  </si>
  <si>
    <t xml:space="preserve"> 0965-34-2420</t>
  </si>
  <si>
    <t xml:space="preserve"> 0965-31-1650</t>
  </si>
  <si>
    <t>人吉店</t>
  </si>
  <si>
    <t>868-0013</t>
  </si>
  <si>
    <t>熊本県人吉市上薩摩瀬町１４５８－１</t>
  </si>
  <si>
    <t xml:space="preserve"> 0966-24-2730</t>
  </si>
  <si>
    <t xml:space="preserve"> 0966-25-1043</t>
  </si>
  <si>
    <t>868-0424</t>
  </si>
  <si>
    <t xml:space="preserve"> 0966-45-7861</t>
  </si>
  <si>
    <t xml:space="preserve"> 0966-45-7860</t>
  </si>
  <si>
    <t>869-0105</t>
  </si>
  <si>
    <t xml:space="preserve"> 0968-78-8121</t>
  </si>
  <si>
    <t xml:space="preserve"> 0968-78-8130</t>
  </si>
  <si>
    <t>869-0634</t>
  </si>
  <si>
    <t xml:space="preserve"> 0964-48-6361</t>
  </si>
  <si>
    <t xml:space="preserve"> 0964-48-6360</t>
  </si>
  <si>
    <t>大津店</t>
  </si>
  <si>
    <t>869-1218</t>
  </si>
  <si>
    <t>熊本県菊池郡大津町吹田字八迫１１９８-２</t>
  </si>
  <si>
    <t xml:space="preserve"> 096-294-0725</t>
  </si>
  <si>
    <t xml:space="preserve"> 096-292-1017</t>
  </si>
  <si>
    <t>869-1602</t>
  </si>
  <si>
    <t xml:space="preserve"> 0967-62-3661</t>
  </si>
  <si>
    <t xml:space="preserve"> 0967-62-3660</t>
  </si>
  <si>
    <t>869-2501</t>
  </si>
  <si>
    <t xml:space="preserve"> 0967-48-5885</t>
  </si>
  <si>
    <t xml:space="preserve"> 0967-48-5886</t>
  </si>
  <si>
    <t>869-2612</t>
  </si>
  <si>
    <t xml:space="preserve"> 0967-22-7031</t>
  </si>
  <si>
    <t xml:space="preserve"> 0967-22-7030</t>
  </si>
  <si>
    <t>869-3602</t>
  </si>
  <si>
    <t xml:space="preserve"> 0964-57-4561</t>
  </si>
  <si>
    <t xml:space="preserve"> 0964-57-4560</t>
  </si>
  <si>
    <t>869-5603</t>
  </si>
  <si>
    <t xml:space="preserve"> 0966-78-5161</t>
  </si>
  <si>
    <t xml:space="preserve"> 0966-78-5160</t>
  </si>
  <si>
    <t>870-0003</t>
  </si>
  <si>
    <t>大分</t>
  </si>
  <si>
    <t xml:space="preserve"> 097-513-4911</t>
  </si>
  <si>
    <t xml:space="preserve"> 097-513-4910</t>
  </si>
  <si>
    <t>870-0108</t>
  </si>
  <si>
    <t xml:space="preserve"> 097-503-7581</t>
  </si>
  <si>
    <t xml:space="preserve"> 097-503-7580</t>
  </si>
  <si>
    <t>東大分店</t>
  </si>
  <si>
    <t>870-0128</t>
  </si>
  <si>
    <t>大分県大分市大字森６２０</t>
  </si>
  <si>
    <t xml:space="preserve"> 097-523-6417</t>
  </si>
  <si>
    <t xml:space="preserve"> 097-524-1139</t>
  </si>
  <si>
    <t>870-0174</t>
  </si>
  <si>
    <t xml:space="preserve"> 097-525-9951</t>
  </si>
  <si>
    <t xml:space="preserve"> 097-525-9950</t>
  </si>
  <si>
    <t>大分店</t>
  </si>
  <si>
    <t>870-0855</t>
  </si>
  <si>
    <t>大分県大分市大字豊饒２６２－４</t>
  </si>
  <si>
    <t xml:space="preserve"> 097-545-1500</t>
  </si>
  <si>
    <t xml:space="preserve"> 097-554-5012</t>
  </si>
  <si>
    <t>中津店</t>
  </si>
  <si>
    <t>871-0001</t>
  </si>
  <si>
    <t xml:space="preserve"> 0979-85-0800</t>
  </si>
  <si>
    <t xml:space="preserve"> 0979-85-0802</t>
  </si>
  <si>
    <t>中津南店</t>
  </si>
  <si>
    <t>871-0152</t>
  </si>
  <si>
    <t>中津市大字加来字加来原２２８３－７２</t>
  </si>
  <si>
    <t xml:space="preserve"> 0979-32-3015</t>
  </si>
  <si>
    <t xml:space="preserve"> 0979-26-2018</t>
  </si>
  <si>
    <t>873-0013</t>
  </si>
  <si>
    <t xml:space="preserve"> 0978-64-0261</t>
  </si>
  <si>
    <t xml:space="preserve"> 0978-64-0260</t>
  </si>
  <si>
    <t>874-0840</t>
  </si>
  <si>
    <t xml:space="preserve"> 0977-27-6831</t>
  </si>
  <si>
    <t xml:space="preserve"> 0977-27-6830</t>
  </si>
  <si>
    <t>別府店</t>
  </si>
  <si>
    <t>874-0925</t>
  </si>
  <si>
    <t>大分県別府市若草町１２－３</t>
  </si>
  <si>
    <t xml:space="preserve"> 0977-24-1436</t>
  </si>
  <si>
    <t xml:space="preserve"> 0977-27-0128</t>
  </si>
  <si>
    <t>876-0822</t>
  </si>
  <si>
    <t xml:space="preserve"> 0972-25-1401</t>
  </si>
  <si>
    <t xml:space="preserve"> 0972-25-1400</t>
  </si>
  <si>
    <t>日田店</t>
  </si>
  <si>
    <t>877-0062</t>
  </si>
  <si>
    <t>大分県日田市大字上野字ダイム１－１６</t>
  </si>
  <si>
    <t xml:space="preserve"> 0973-22-2141</t>
  </si>
  <si>
    <t xml:space="preserve"> 0973-26-0041</t>
  </si>
  <si>
    <t>宇佐店</t>
  </si>
  <si>
    <t>879-0444</t>
  </si>
  <si>
    <t>大分県宇佐市石田１９４</t>
  </si>
  <si>
    <t xml:space="preserve"> 0978-32-2151</t>
  </si>
  <si>
    <t xml:space="preserve"> 0978-34-0011</t>
  </si>
  <si>
    <t>879-2401</t>
  </si>
  <si>
    <t xml:space="preserve"> 0972-85-0231</t>
  </si>
  <si>
    <t xml:space="preserve"> 0972-85-0230</t>
  </si>
  <si>
    <t>879-4412</t>
  </si>
  <si>
    <t xml:space="preserve"> 0973-73-9271</t>
  </si>
  <si>
    <t xml:space="preserve"> 0973-73-9270</t>
  </si>
  <si>
    <t>佐土原店</t>
  </si>
  <si>
    <t>880-0211</t>
  </si>
  <si>
    <t>宮崎</t>
  </si>
  <si>
    <t xml:space="preserve"> 0985-72-0725</t>
  </si>
  <si>
    <t xml:space="preserve"> 0985-30-1046</t>
  </si>
  <si>
    <t>宮崎店</t>
  </si>
  <si>
    <t>880-0879</t>
  </si>
  <si>
    <t xml:space="preserve"> 0985-26-1870</t>
  </si>
  <si>
    <t xml:space="preserve"> 0985-20-3270</t>
  </si>
  <si>
    <t>南宮崎店</t>
  </si>
  <si>
    <t>880-0911</t>
  </si>
  <si>
    <t>宮崎県宮崎市大字田吉１０５－１</t>
  </si>
  <si>
    <t xml:space="preserve"> 0985-52-4211</t>
  </si>
  <si>
    <t xml:space="preserve"> 0985-55-1106</t>
  </si>
  <si>
    <t>大塚店</t>
  </si>
  <si>
    <t>880-0951</t>
  </si>
  <si>
    <t>宮崎県宮崎市大塚町竹原２０３５</t>
  </si>
  <si>
    <t xml:space="preserve"> 0985-54-0725</t>
  </si>
  <si>
    <t xml:space="preserve"> 0985-55-1107</t>
  </si>
  <si>
    <t>880-1301</t>
  </si>
  <si>
    <t xml:space="preserve"> 0985-30-7761</t>
  </si>
  <si>
    <t xml:space="preserve"> 0985-30-7760</t>
  </si>
  <si>
    <t>881-0001</t>
  </si>
  <si>
    <t xml:space="preserve"> 0983-41-0231</t>
  </si>
  <si>
    <t xml:space="preserve"> 0983-41-0230</t>
  </si>
  <si>
    <t>日向店</t>
  </si>
  <si>
    <t>883-0021</t>
  </si>
  <si>
    <t>宮崎県日向市財光寺１７９１－１</t>
  </si>
  <si>
    <t xml:space="preserve"> 0982-53-0377</t>
  </si>
  <si>
    <t xml:space="preserve"> 0982-56-1177</t>
  </si>
  <si>
    <t>884-0002</t>
  </si>
  <si>
    <t xml:space="preserve"> 0983-26-1781</t>
  </si>
  <si>
    <t xml:space="preserve"> 0983-26-1780</t>
  </si>
  <si>
    <t>885-0004</t>
  </si>
  <si>
    <t xml:space="preserve"> 0986-46-7321</t>
  </si>
  <si>
    <t xml:space="preserve"> 0986-46-7361</t>
  </si>
  <si>
    <t>885-0064</t>
  </si>
  <si>
    <t xml:space="preserve"> 0986-47-4271</t>
  </si>
  <si>
    <t xml:space="preserve"> 0986-47-4270</t>
  </si>
  <si>
    <t>886-0003</t>
  </si>
  <si>
    <t xml:space="preserve"> 0984-25-0431</t>
  </si>
  <si>
    <t xml:space="preserve"> 0984-25-0430</t>
  </si>
  <si>
    <t>串間店</t>
  </si>
  <si>
    <t>888-0012</t>
  </si>
  <si>
    <t>宮崎県串間市西浜２丁目３－２</t>
  </si>
  <si>
    <t xml:space="preserve"> 0987-72-5500</t>
  </si>
  <si>
    <t xml:space="preserve"> 0987-71-1122</t>
  </si>
  <si>
    <t>889-0501</t>
  </si>
  <si>
    <t xml:space="preserve"> 0982-23-8031</t>
  </si>
  <si>
    <t xml:space="preserve"> 0982-23-8030</t>
  </si>
  <si>
    <t>889-1201</t>
  </si>
  <si>
    <t xml:space="preserve"> 0983-21-2871</t>
  </si>
  <si>
    <t xml:space="preserve"> 0983-21-2870</t>
  </si>
  <si>
    <t>889-1603</t>
  </si>
  <si>
    <t xml:space="preserve"> 0985-55-6961</t>
  </si>
  <si>
    <t xml:space="preserve"> 0985-55-6970</t>
  </si>
  <si>
    <t>日南店</t>
  </si>
  <si>
    <t>889-2541</t>
  </si>
  <si>
    <t xml:space="preserve"> 0987-23-5100</t>
  </si>
  <si>
    <t xml:space="preserve"> 0987-21-1067</t>
  </si>
  <si>
    <t>えびの店</t>
  </si>
  <si>
    <t>889-4151</t>
  </si>
  <si>
    <t>宮崎県えびの市大字向江４６９－１</t>
  </si>
  <si>
    <t xml:space="preserve"> 0984-37-1773</t>
  </si>
  <si>
    <t xml:space="preserve"> 0984-25-5007</t>
  </si>
  <si>
    <t>891-0115</t>
  </si>
  <si>
    <t>鹿児島</t>
  </si>
  <si>
    <t xml:space="preserve"> 099-210-0071</t>
  </si>
  <si>
    <t xml:space="preserve"> 099-210-0070</t>
  </si>
  <si>
    <t>891-0144</t>
  </si>
  <si>
    <t xml:space="preserve"> 099-284-2971</t>
  </si>
  <si>
    <t xml:space="preserve"> 099-284-2920</t>
  </si>
  <si>
    <t>指宿店</t>
  </si>
  <si>
    <t>891-0311</t>
  </si>
  <si>
    <t>鹿児島県指宿市西方１６３９－１</t>
  </si>
  <si>
    <t xml:space="preserve"> 0993-22-5601</t>
  </si>
  <si>
    <t xml:space="preserve"> 0993-27-1158</t>
  </si>
  <si>
    <t>891-0703</t>
  </si>
  <si>
    <t xml:space="preserve"> 0993-27-4191</t>
  </si>
  <si>
    <t xml:space="preserve"> 0993-27-4193</t>
  </si>
  <si>
    <t>891-2117</t>
  </si>
  <si>
    <t xml:space="preserve"> 0994-32-9271</t>
  </si>
  <si>
    <t xml:space="preserve"> 0994-32-9270</t>
  </si>
  <si>
    <t>鹿屋店</t>
  </si>
  <si>
    <t>893-1204</t>
  </si>
  <si>
    <t xml:space="preserve"> 0994-31-5121</t>
  </si>
  <si>
    <t xml:space="preserve"> 0994-31-5122</t>
  </si>
  <si>
    <t>893-2502</t>
  </si>
  <si>
    <t xml:space="preserve"> 0994-28-1651</t>
  </si>
  <si>
    <t xml:space="preserve"> 0994-28-1650</t>
  </si>
  <si>
    <t>川内店</t>
  </si>
  <si>
    <t>895-0067</t>
  </si>
  <si>
    <t xml:space="preserve"> 0996-20-1725</t>
  </si>
  <si>
    <t xml:space="preserve"> 0996-21-1150</t>
  </si>
  <si>
    <t xml:space="preserve"> 0996-53-2868</t>
  </si>
  <si>
    <t xml:space="preserve"> 0996-21-3003</t>
  </si>
  <si>
    <t>大口店</t>
  </si>
  <si>
    <t>895-2507</t>
  </si>
  <si>
    <t xml:space="preserve"> 0995-22-2711</t>
  </si>
  <si>
    <t xml:space="preserve"> 0995-24-2360</t>
  </si>
  <si>
    <t>895-2705</t>
  </si>
  <si>
    <t xml:space="preserve"> 0995-24-1701</t>
  </si>
  <si>
    <t xml:space="preserve"> 0995-24-1710</t>
  </si>
  <si>
    <t>896-0067</t>
  </si>
  <si>
    <t xml:space="preserve"> 0996-33-5321</t>
  </si>
  <si>
    <t xml:space="preserve"> 0996-33-5320</t>
  </si>
  <si>
    <t>897-0004</t>
  </si>
  <si>
    <t xml:space="preserve"> 0993-52-6041</t>
  </si>
  <si>
    <t xml:space="preserve"> 0993-52-6040</t>
  </si>
  <si>
    <t>897-0305</t>
  </si>
  <si>
    <t xml:space="preserve"> 0993-58-6191</t>
  </si>
  <si>
    <t xml:space="preserve"> 0993-58-6190</t>
  </si>
  <si>
    <t>出水店</t>
  </si>
  <si>
    <t>899-0126</t>
  </si>
  <si>
    <t>鹿児島県出水市六月田町５４１</t>
  </si>
  <si>
    <t xml:space="preserve"> 0996-67-0808</t>
  </si>
  <si>
    <t xml:space="preserve"> 0996-64-8002</t>
  </si>
  <si>
    <t>899-4462</t>
  </si>
  <si>
    <t xml:space="preserve"> 0995-48-8881</t>
  </si>
  <si>
    <t xml:space="preserve"> 0995-48-8883</t>
  </si>
  <si>
    <t>899-5115</t>
  </si>
  <si>
    <t xml:space="preserve"> 0995-64-2711</t>
  </si>
  <si>
    <t xml:space="preserve"> 0995-64-2710</t>
  </si>
  <si>
    <t>姶良店</t>
  </si>
  <si>
    <t>899-5402</t>
  </si>
  <si>
    <t xml:space="preserve"> 0995-64-5335</t>
  </si>
  <si>
    <t xml:space="preserve"> 0995-64-5337</t>
  </si>
  <si>
    <t>899-7103</t>
  </si>
  <si>
    <t xml:space="preserve"> 099-471-1121</t>
  </si>
  <si>
    <t xml:space="preserve"> 099-471-1125</t>
  </si>
  <si>
    <t>899-7306</t>
  </si>
  <si>
    <t xml:space="preserve"> 099-471-7151</t>
  </si>
  <si>
    <t xml:space="preserve"> 099-471-7150</t>
  </si>
  <si>
    <t>899-8102</t>
  </si>
  <si>
    <t xml:space="preserve"> 099-471-2101</t>
  </si>
  <si>
    <t xml:space="preserve"> 099-471-2102</t>
  </si>
  <si>
    <t>福岡県筑後市大字庄島三反田２３３</t>
  </si>
  <si>
    <t xml:space="preserve"> 0942-53-2117</t>
  </si>
  <si>
    <t xml:space="preserve"> 0942-51-1052</t>
  </si>
  <si>
    <t>受注日</t>
  </si>
  <si>
    <t>店舗コード</t>
  </si>
  <si>
    <t>出荷日</t>
  </si>
  <si>
    <t>納品日</t>
  </si>
  <si>
    <t>丸健</t>
  </si>
  <si>
    <t>店名</t>
  </si>
  <si>
    <t>伝票番号</t>
    <rPh sb="0" eb="2">
      <t>デンピョウ</t>
    </rPh>
    <rPh sb="2" eb="4">
      <t>バンゴウ</t>
    </rPh>
    <phoneticPr fontId="8"/>
  </si>
  <si>
    <t>〒</t>
    <phoneticPr fontId="6"/>
  </si>
  <si>
    <t>※注文をキャンセルする時「キャンセル」欄に「yes」で入力してください！</t>
    <rPh sb="1" eb="3">
      <t>チュウモン</t>
    </rPh>
    <rPh sb="11" eb="12">
      <t>トキ</t>
    </rPh>
    <rPh sb="19" eb="20">
      <t>ラン</t>
    </rPh>
    <rPh sb="27" eb="29">
      <t>ニュウリョク</t>
    </rPh>
    <phoneticPr fontId="8"/>
  </si>
  <si>
    <t>商品コード</t>
    <rPh sb="0" eb="2">
      <t>ショウヒン</t>
    </rPh>
    <phoneticPr fontId="8"/>
  </si>
  <si>
    <t>規格名漢字</t>
    <rPh sb="0" eb="2">
      <t>キカク</t>
    </rPh>
    <rPh sb="2" eb="3">
      <t>メイ</t>
    </rPh>
    <rPh sb="3" eb="5">
      <t>カンジ</t>
    </rPh>
    <phoneticPr fontId="8"/>
  </si>
  <si>
    <t>２０ｋｇ</t>
  </si>
  <si>
    <t>チューブタイヤ</t>
  </si>
  <si>
    <t>ノーパンクタイヤ</t>
  </si>
  <si>
    <t>アルミコンテナカー</t>
  </si>
  <si>
    <t>浅型一輪車NP</t>
  </si>
  <si>
    <t>WB2709N</t>
  </si>
  <si>
    <t>５～１０㎜／２０ｋｇ</t>
  </si>
  <si>
    <t>上郡店</t>
  </si>
  <si>
    <t>姫路店</t>
  </si>
  <si>
    <t>ﾋﾒｼﾞﾃﾝ</t>
  </si>
  <si>
    <t>PR1302</t>
  </si>
  <si>
    <t>春日フォレストＣ店</t>
  </si>
  <si>
    <t>土山店</t>
  </si>
  <si>
    <t>豊津店</t>
  </si>
  <si>
    <t>アルミ浅型一輪車NP</t>
  </si>
  <si>
    <t>WB2712AL</t>
  </si>
  <si>
    <t>ﾖﾂｶｲﾄﾞｳﾃﾝ</t>
  </si>
  <si>
    <t>ｲﾁﾊﾗﾋｶﾞｼﾃﾝ</t>
  </si>
  <si>
    <t>ﾋﾀﾁｷﾀﾃﾝ</t>
  </si>
  <si>
    <t>ﾁﾉﾃﾝ</t>
  </si>
  <si>
    <t>ｴﾝｻﾞﾝﾃﾝ</t>
  </si>
  <si>
    <t>ﾌｼﾞﾃﾝ</t>
  </si>
  <si>
    <t>ﾌｼﾞﾉﾐﾔﾃﾝ</t>
  </si>
  <si>
    <t>ﾏﾘｺﾃﾝ</t>
  </si>
  <si>
    <t>ｼﾏﾀﾞﾃﾝ</t>
  </si>
  <si>
    <t>ｺｻｲﾃﾝ</t>
  </si>
  <si>
    <t>ﾊﾏﾏﾂﾋｶﾞｼﾃﾝ</t>
  </si>
  <si>
    <t>ｶｹｶﾞﾜﾃﾝ</t>
  </si>
  <si>
    <t>ｵｵｽｶﾃﾝ</t>
  </si>
  <si>
    <t>ﾊﾏｵｶﾃﾝ</t>
  </si>
  <si>
    <t>ﾓﾘﾔﾏﾃﾝ</t>
  </si>
  <si>
    <t>ｲﾇﾔﾏﾃﾝ</t>
  </si>
  <si>
    <t>ｾﾄﾐｽﾞﾉﾃﾝ</t>
  </si>
  <si>
    <t>ﾖｳﾛｳﾃﾝ</t>
  </si>
  <si>
    <t>ﾏｯﾄｳﾃﾝ</t>
  </si>
  <si>
    <t>ｶﾎｸﾃﾝ</t>
  </si>
  <si>
    <t>ｶﾐｲﾁﾃﾝ</t>
  </si>
  <si>
    <t>ﾅﾊﾞﾘﾃﾝ</t>
  </si>
  <si>
    <t>ﾀｶｼﾏﾃﾝ</t>
  </si>
  <si>
    <t>ｼｶﾞｵｵﾂﾃﾝ</t>
  </si>
  <si>
    <t>ｺﾅﾝﾃﾝ</t>
  </si>
  <si>
    <t>ﾋｺﾈﾃﾝ</t>
  </si>
  <si>
    <t>ﾂﾁﾔﾏﾃﾝ</t>
  </si>
  <si>
    <t>ﾀｶﾂｷﾃﾝ</t>
  </si>
  <si>
    <t>ﾋﾉﾃﾝ</t>
  </si>
  <si>
    <t>ﾐﾅﾐｴｸﾞﾁﾃﾝ</t>
  </si>
  <si>
    <t>ｶﾜﾁﾅｶﾞﾉﾃﾝ</t>
  </si>
  <si>
    <t>ｲｽﾞﾐｵｵﾂﾃﾝ</t>
  </si>
  <si>
    <t>ﾊﾝﾅﾝｽｶｲﾀｳﾝﾃﾝ</t>
  </si>
  <si>
    <t>ﾊｲﾊﾞﾗﾃﾝ</t>
  </si>
  <si>
    <t>ｺﾞｾﾃﾝ</t>
  </si>
  <si>
    <t>ﾜｶﾔﾏｱﾘﾀﾞﾃﾝ</t>
  </si>
  <si>
    <t>ｶﾂﾗｷﾞﾃﾝ</t>
  </si>
  <si>
    <t>ﾊｼﾓﾄﾃﾝ</t>
  </si>
  <si>
    <t>ｶﾉｺﾀﾞｲﾃﾝ</t>
  </si>
  <si>
    <t>ﾆｼｺｳﾍﾞﾃﾝ</t>
  </si>
  <si>
    <t>ｵｵｸﾎﾞｲﾝﾀｰﾃﾝ</t>
  </si>
  <si>
    <t>ﾅﾀﾞﾃﾝ</t>
  </si>
  <si>
    <t>ｲﾅｶﾞﾜﾃﾝ</t>
  </si>
  <si>
    <t>ﾄﾖｵｶﾃﾝ</t>
  </si>
  <si>
    <t>ﾋｶﾞｼﾋﾒｼﾞﾃﾝ</t>
  </si>
  <si>
    <t>ﾐｷﾃﾝ</t>
  </si>
  <si>
    <t>ｶｺｶﾞﾜﾃﾝ</t>
  </si>
  <si>
    <t>ﾐﾅﾐｶｺｶﾞﾜﾃﾝ</t>
  </si>
  <si>
    <t>ﾆｼｶｺｶﾞﾜﾃﾝ</t>
  </si>
  <si>
    <t>ﾆｼﾜｷﾃﾝ</t>
  </si>
  <si>
    <t>ｱｺｳﾃﾝ</t>
  </si>
  <si>
    <t>ｶﾐｺﾞｵﾘﾃﾝ</t>
  </si>
  <si>
    <t>ｶﾝｻﾞｷﾃﾝ</t>
  </si>
  <si>
    <t>ﾄｯﾄﾘﾃﾝ</t>
  </si>
  <si>
    <t>ｸﾗﾖｼｷﾀﾃﾝ</t>
  </si>
  <si>
    <t>ﾖﾅｺﾞﾋｶﾞｼﾃﾝ</t>
  </si>
  <si>
    <t>ﾏﾂｴﾃﾝ</t>
  </si>
  <si>
    <t>ﾋﾗﾀﾃﾝ</t>
  </si>
  <si>
    <t>ｷﾀｲｽﾞﾓﾃﾝ</t>
  </si>
  <si>
    <t>ｵｵﾀﾞﾃﾝ</t>
  </si>
  <si>
    <t>ﾊﾏﾀﾞﾃﾝ</t>
  </si>
  <si>
    <t>ﾏｽﾀﾞｷﾀﾃﾝ</t>
  </si>
  <si>
    <t>ﾏｽﾀﾞﾃﾝ</t>
  </si>
  <si>
    <t>ｺﾘｮｳﾃﾝ</t>
  </si>
  <si>
    <t>ｳﾝﾅﾝﾃﾝ</t>
  </si>
  <si>
    <t>ﾆｼｺﾞｳﾂﾃﾝ</t>
  </si>
  <si>
    <t>ｵｵﾌｸﾃﾝ</t>
  </si>
  <si>
    <t>ｱｶｲﾜﾃﾝ</t>
  </si>
  <si>
    <t>ｷﾀｱｶｲﾜﾃﾝ</t>
  </si>
  <si>
    <t>ｾﾄｳﾁﾃﾝ</t>
  </si>
  <si>
    <t>ﾋｶﾞｼｵｶﾔﾏﾃﾝ</t>
  </si>
  <si>
    <t>ﾐﾏｻｶｲﾝﾀｰﾃﾝ</t>
  </si>
  <si>
    <t>ﾜｹﾃﾝ</t>
  </si>
  <si>
    <t>ﾐﾅﾐｸﾗｼｷﾃﾝ</t>
  </si>
  <si>
    <t>ﾀﾏｼﾏﾃﾝ</t>
  </si>
  <si>
    <t>ﾔｶｹﾞﾃﾝ</t>
  </si>
  <si>
    <t>ｲﾊﾞﾗﾃﾝ</t>
  </si>
  <si>
    <t>ﾀｶﾊｼﾃﾝ</t>
  </si>
  <si>
    <t>ｶﾓｶﾞﾀｲﾝﾀｰﾃﾝ</t>
  </si>
  <si>
    <t>ｿｳｼﾞｬﾃﾝ</t>
  </si>
  <si>
    <t>ｴｷﾔﾃﾝ</t>
  </si>
  <si>
    <t>ｾﾗﾃﾝ</t>
  </si>
  <si>
    <t>ﾀｹﾊﾗﾃﾝ</t>
  </si>
  <si>
    <t>ｼｮｳﾊﾞﾗﾃﾝ</t>
  </si>
  <si>
    <t>ﾐﾖｼﾃﾝ</t>
  </si>
  <si>
    <t>ﾏﾂﾅｶﾞﾃﾝ</t>
  </si>
  <si>
    <t>ﾎﾝｺﾞｳﾃﾝ</t>
  </si>
  <si>
    <t>ｼﾝｲﾁﾃﾝ</t>
  </si>
  <si>
    <t>ｱｻｷﾀﾃﾝ</t>
  </si>
  <si>
    <t>ﾖｼﾀﾞﾃﾝ</t>
  </si>
  <si>
    <t>ﾇﾏﾀﾃﾝ</t>
  </si>
  <si>
    <t>ｾｲﾌｳｼﾝﾄﾃﾝ</t>
  </si>
  <si>
    <t>ｸﾏﾉﾃﾝ</t>
  </si>
  <si>
    <t>ﾋﾛｼﾏﾍﾞｲｻｲﾄﾞﾃﾝ</t>
  </si>
  <si>
    <t>ﾆｼﾋﾛｼﾏﾃﾝ</t>
  </si>
  <si>
    <t>ﾋﾛﾃﾝ</t>
  </si>
  <si>
    <t>ﾋｶﾘﾏﾁﾃﾝ</t>
  </si>
  <si>
    <t>ﾔｹﾔﾏﾃﾝ</t>
  </si>
  <si>
    <t>ｵﾝﾄﾞﾃﾝ</t>
  </si>
  <si>
    <t>ｴﾀｼﾞﾏﾃﾝ</t>
  </si>
  <si>
    <t>ﾔｽｳﾗﾃﾝ</t>
  </si>
  <si>
    <t>ｱｼﾞﾅﾃﾝ</t>
  </si>
  <si>
    <t>ﾋｶﾞｼﾋﾛｼﾏﾃﾝ</t>
  </si>
  <si>
    <t>ｺｳﾀﾞﾃﾝ</t>
  </si>
  <si>
    <t>ｼﾗｷﾃﾝ</t>
  </si>
  <si>
    <t>ｺｳﾖｳﾃﾝ</t>
  </si>
  <si>
    <t>ｸﾛｾﾃﾝ</t>
  </si>
  <si>
    <t>ﾐﾅﾐｲﾜｸﾆﾃﾝ</t>
  </si>
  <si>
    <t>ﾋｶﾞｼﾔﾅｲﾃﾝ</t>
  </si>
  <si>
    <t>ﾔﾅｲﾃﾝ</t>
  </si>
  <si>
    <t>ｸｶﾞﾃﾝ</t>
  </si>
  <si>
    <t>ﾋﾗｵﾃﾝ</t>
  </si>
  <si>
    <t>ﾀﾌﾞｾﾃﾝ</t>
  </si>
  <si>
    <t>ﾐﾂｲﾃﾝ</t>
  </si>
  <si>
    <t>ﾋｶﾞｼｸﾀﾞﾏﾂﾃﾝ</t>
  </si>
  <si>
    <t>ｸﾀﾞﾏﾂﾃﾝ</t>
  </si>
  <si>
    <t>21Sﾄｸﾔﾏﾃﾝ</t>
  </si>
  <si>
    <t>ﾑﾚﾃﾝ</t>
  </si>
  <si>
    <t>ﾎｳﾌﾃﾝ</t>
  </si>
  <si>
    <t>ｼﾓﾉｾｷﾃﾝ</t>
  </si>
  <si>
    <t>ﾄﾖﾀﾃﾝ</t>
  </si>
  <si>
    <t>ｶﾜﾅｶﾃﾝ</t>
  </si>
  <si>
    <t>ﾁｮｳﾌﾃﾝ</t>
  </si>
  <si>
    <t>ｼﾓﾉｾｷｼｰｻｲﾄﾞﾃﾝ</t>
  </si>
  <si>
    <t>ｵｵｳﾁﾃﾝ</t>
  </si>
  <si>
    <t>ﾔﾏｸﾞﾁﾃﾝ</t>
  </si>
  <si>
    <t>ｵｺﾞｵﾘﾃﾝ</t>
  </si>
  <si>
    <t>ﾐﾄｳﾃﾝ</t>
  </si>
  <si>
    <t>ｱｼﾞｽﾃﾝ</t>
  </si>
  <si>
    <t>ｳﾍﾞﾃﾝ</t>
  </si>
  <si>
    <t>ｵﾉﾀﾞﾃﾝ</t>
  </si>
  <si>
    <t>ﾐﾅﾐﾊｷﾞﾃﾝ</t>
  </si>
  <si>
    <t>ﾄｸｻﾃﾝ</t>
  </si>
  <si>
    <t>ﾐﾈﾃﾝ</t>
  </si>
  <si>
    <t>ﾅｶﾞﾄﾃﾝ</t>
  </si>
  <si>
    <t>ﾕﾔﾃﾝ</t>
  </si>
  <si>
    <t>ｶﾜﾀﾅﾃﾝ</t>
  </si>
  <si>
    <t>ｼｭｳﾅﾝﾃﾝ</t>
  </si>
  <si>
    <t>ｾﾞﾝﾂｳｼﾞﾃﾝ</t>
  </si>
  <si>
    <t>ﾄﾖﾅｶﾃﾝ</t>
  </si>
  <si>
    <t>ｻﾇｷﾃﾝ</t>
  </si>
  <si>
    <t>ﾅﾙﾄﾃﾝ</t>
  </si>
  <si>
    <t>ﾌﾟﾗｻﾞﾓｼﾞﾃﾝ</t>
  </si>
  <si>
    <t>ﾋｶﾞｼｲﾝﾀｰﾃﾝ</t>
  </si>
  <si>
    <t>ｺｸﾗﾐﾅﾐﾃﾝ</t>
  </si>
  <si>
    <t>ｶﾝﾀﾞﾃﾝ</t>
  </si>
  <si>
    <t>ﾓｼﾞｼｰｻｲﾄﾞﾃﾝ</t>
  </si>
  <si>
    <t>ｺｸﾗｷﾀﾃﾝ</t>
  </si>
  <si>
    <t>ﾄﾐﾉﾃﾝ</t>
  </si>
  <si>
    <t>ﾄｸﾘｷﾃﾝ</t>
  </si>
  <si>
    <t>ｲﾎﾞﾘﾃﾝ</t>
  </si>
  <si>
    <t>ﾅｶｲﾃﾝ</t>
  </si>
  <si>
    <t>ｻﾔｶﾞﾀﾆﾃﾝ</t>
  </si>
  <si>
    <t>ﾄﾊﾞﾀﾃﾝ</t>
  </si>
  <si>
    <t>ﾔﾊﾀﾋｶﾞｼﾃﾝ</t>
  </si>
  <si>
    <t>ﾐｽﾞﾏｷﾃﾝ</t>
  </si>
  <si>
    <t>ｺｳｼﾞｬｸﾃﾝ</t>
  </si>
  <si>
    <t>ｵﾘｵﾃﾝ</t>
  </si>
  <si>
    <t>ﾊﾞﾊﾞﾔﾏﾃﾝ</t>
  </si>
  <si>
    <t>ﾎｼｶﾞｵｶﾃﾝ</t>
  </si>
  <si>
    <t>ｸﾗﾃﾃﾝ</t>
  </si>
  <si>
    <t>ﾆｼﾜｶﾏﾂﾃﾝ</t>
  </si>
  <si>
    <t>ﾋﾋﾞｷﾉﾃﾝ</t>
  </si>
  <si>
    <t>ﾌｸｵｶﾋｶﾞｼﾃﾝ</t>
  </si>
  <si>
    <t>ｼﾝｸﾞｳﾃﾝ</t>
  </si>
  <si>
    <t>ﾜｼﾞﾛﾃﾝ</t>
  </si>
  <si>
    <t>ﾅｶｶﾞﾜﾃﾝ</t>
  </si>
  <si>
    <t>ﾐﾅﾐﾅｶｶﾞﾜﾃﾝ</t>
  </si>
  <si>
    <t>ｼﾒﾃﾝ</t>
  </si>
  <si>
    <t>ｶｽﾔﾃﾝ</t>
  </si>
  <si>
    <t>ｻｻｸﾞﾘﾃﾝ</t>
  </si>
  <si>
    <t>ﾄﾘｱｽﾋｻﾔﾏﾃﾝ</t>
  </si>
  <si>
    <t>ｺｶﾞﾃﾝ</t>
  </si>
  <si>
    <t>ﾐﾅﾐﾑﾅｶﾀﾃﾝ</t>
  </si>
  <si>
    <t>21Sﾑﾅｶﾀﾃﾝ</t>
  </si>
  <si>
    <t>ｵｶｶﾞｷﾃﾝ</t>
  </si>
  <si>
    <t>ﾌｸｵｶｸｳｺｳﾃﾝ</t>
  </si>
  <si>
    <t>ﾐﾅﾐﾌｸｵｶﾃﾝ</t>
  </si>
  <si>
    <t>ﾊｶﾀﾃﾝ</t>
  </si>
  <si>
    <t>ﾀﾀﾗﾃﾝ</t>
  </si>
  <si>
    <t>ﾂﾂﾐﾃﾝ</t>
  </si>
  <si>
    <t>ｶｽｶﾞﾃﾝ</t>
  </si>
  <si>
    <t>ｶｽｶﾞﾌｫﾚｽﾄｼﾃｨﾃﾝ</t>
  </si>
  <si>
    <t>ﾁｸｼﾃﾝ</t>
  </si>
  <si>
    <t>ﾆｼﾌｸｵｶﾃﾝ</t>
  </si>
  <si>
    <t>ｲﾏｼﾞｭｸﾃﾝ</t>
  </si>
  <si>
    <t>ﾓﾄｵｶﾃﾝ</t>
  </si>
  <si>
    <t>ﾏｴﾊﾞﾙﾃﾝ</t>
  </si>
  <si>
    <t>ﾆｼﾞｮｳﾃﾝ</t>
  </si>
  <si>
    <t>ｲｲｽﾞｶﾐﾅﾐﾃﾝ</t>
  </si>
  <si>
    <t>ｼｮｳﾅｲﾃﾝ</t>
  </si>
  <si>
    <t>ｲﾅﾂｷﾃﾝ</t>
  </si>
  <si>
    <t>ｶｲﾀﾃﾝ</t>
  </si>
  <si>
    <t>ﾉｵｶﾞﾀﾃﾝ</t>
  </si>
  <si>
    <t>ﾐﾔﾀﾃﾝ</t>
  </si>
  <si>
    <t>ﾌﾟﾗｻﾞﾕｸﾊｼﾃﾝ</t>
  </si>
  <si>
    <t>ﾄﾖﾂﾃﾝ</t>
  </si>
  <si>
    <t>ﾀｶﾞﾜﾃﾝ</t>
  </si>
  <si>
    <t>ｶﾜｻｷﾃﾝ</t>
  </si>
  <si>
    <t>ﾌﾞｾﾞﾝﾃﾝ</t>
  </si>
  <si>
    <t>ﾌﾚｽﾎﾟﾌﾞｾﾞﾝﾃﾝ</t>
  </si>
  <si>
    <t>ｼｲﾀﾞﾃﾝ</t>
  </si>
  <si>
    <t>ﾐﾅﾐｸﾙﾒﾃﾝ</t>
  </si>
  <si>
    <t>ｼﾞｮｳｼﾞﾏﾃﾝ</t>
  </si>
  <si>
    <t>ﾀﾁｱﾗｲﾃﾝ</t>
  </si>
  <si>
    <t>ﾔﾅｶﾞﾜﾃﾝ</t>
  </si>
  <si>
    <t>ﾁｸｺﾞﾃﾝ</t>
  </si>
  <si>
    <t>ﾔﾒﾃﾝ</t>
  </si>
  <si>
    <t>ﾋﾛｶﾜﾃﾝ</t>
  </si>
  <si>
    <t>ｸﾛｷﾞﾃﾝ</t>
  </si>
  <si>
    <t>ｾﾀｶﾃﾝ</t>
  </si>
  <si>
    <t>ｵｵﾑﾀﾃﾝ</t>
  </si>
  <si>
    <t>ｱﾏｷﾞﾃﾝ</t>
  </si>
  <si>
    <t>ｱﾏｷﾞｲﾝﾀｰﾃﾝ</t>
  </si>
  <si>
    <t>ﾁｸｾﾞﾝﾃﾝ</t>
  </si>
  <si>
    <t>ﾊｷﾃﾝ</t>
  </si>
  <si>
    <t>ﾊﾀｻﾞｷﾃﾝ</t>
  </si>
  <si>
    <t>ﾖｼｲﾃﾝ</t>
  </si>
  <si>
    <t>ﾐﾅﾐｻｶﾞﾃﾝ</t>
  </si>
  <si>
    <t>ﾄｽﾃﾝ</t>
  </si>
  <si>
    <t>ﾀｹｵﾃﾝ</t>
  </si>
  <si>
    <t>ｱﾘﾀﾃﾝ</t>
  </si>
  <si>
    <t>ｵｷﾞﾃﾝ</t>
  </si>
  <si>
    <t>ﾀｸｲﾝﾀｰﾃﾝ</t>
  </si>
  <si>
    <t>ｶﾗﾂﾃﾝ</t>
  </si>
  <si>
    <t>ｲﾏﾘﾃﾝ</t>
  </si>
  <si>
    <t>ﾅｶﾊﾞﾙﾃﾝ</t>
  </si>
  <si>
    <t>ｳｼﾂﾞﾃﾝ</t>
  </si>
  <si>
    <t>ｻｶﾞﾃﾝ</t>
  </si>
  <si>
    <t>ｶｼﾏﾃﾝ</t>
  </si>
  <si>
    <t>ﾌﾚｽﾎﾟﾌｸﾀﾞﾃﾝ</t>
  </si>
  <si>
    <t>ﾐﾅﾐﾅｶﾞｻｷﾃﾝ</t>
  </si>
  <si>
    <t>ﾋｶﾞｼﾅｶﾞｻｷﾃﾝ</t>
  </si>
  <si>
    <t>ﾄｷﾞﾂﾃﾝ</t>
  </si>
  <si>
    <t>ｱｾﾞｶﾘﾃﾝ</t>
  </si>
  <si>
    <t>ｷﾝｶｲﾃﾝ</t>
  </si>
  <si>
    <t>ｻｲｶｲﾃﾝ</t>
  </si>
  <si>
    <t>ﾋｶﾞｼｲｻﾊﾔﾃﾝ</t>
  </si>
  <si>
    <t>ｱｲﾉﾃﾝ</t>
  </si>
  <si>
    <t>ｼﾏﾊﾞﾗﾃﾝ</t>
  </si>
  <si>
    <t>ｵｵﾑﾗﾃﾝ</t>
  </si>
  <si>
    <t>ﾐﾅﾐｵｵﾑﾗﾃﾝ</t>
  </si>
  <si>
    <t>ｻｻﾞﾃﾝ</t>
  </si>
  <si>
    <t>ｻｾﾎﾞﾐﾅﾄｲﾝﾀｰﾃﾝ</t>
  </si>
  <si>
    <t>ﾀｶｷﾃﾝ</t>
  </si>
  <si>
    <t>ｲｻﾊﾔﾃﾝ</t>
  </si>
  <si>
    <t>ｸﾆﾐﾃﾝ</t>
  </si>
  <si>
    <t>ｸﾁﾉﾂﾃﾝ</t>
  </si>
  <si>
    <t>ｻｾﾎﾞﾋｶﾞｼﾃﾝ</t>
  </si>
  <si>
    <t>ﾊｻﾐﾃﾝ</t>
  </si>
  <si>
    <t>ﾀﾋﾞﾗﾃﾝ</t>
  </si>
  <si>
    <t>ﾋﾗﾄﾞﾃﾝ</t>
  </si>
  <si>
    <t>ｴﾑｶｴﾃﾝ</t>
  </si>
  <si>
    <t>ｷﾀｸﾏﾓﾄﾃﾝ</t>
  </si>
  <si>
    <t>ｸﾛｶﾐﾃﾝ</t>
  </si>
  <si>
    <t>ｶﾓﾄﾃﾝ</t>
  </si>
  <si>
    <t>ﾔﾏｶﾞﾃﾝ</t>
  </si>
  <si>
    <t>ｷｸﾅﾝﾃﾝ</t>
  </si>
  <si>
    <t>ｷｸﾁﾃﾝ</t>
  </si>
  <si>
    <t>ﾆｼﾊﾗﾃﾝ</t>
  </si>
  <si>
    <t>ﾄﾐｱｲﾃﾝ</t>
  </si>
  <si>
    <t>ｼﾞｮｳﾅﾝﾃﾝ</t>
  </si>
  <si>
    <t>ﾐｻﾄﾃﾝ</t>
  </si>
  <si>
    <t>ｹﾝｸﾞﾝﾃﾝ</t>
  </si>
  <si>
    <t>ｴﾂﾞﾃﾝ</t>
  </si>
  <si>
    <t>ﾎﾝﾄﾞﾃﾝ</t>
  </si>
  <si>
    <t>ｱﾗｵﾃﾝ</t>
  </si>
  <si>
    <t>ｱﾗｵﾋｶﾞｼﾃﾝ</t>
  </si>
  <si>
    <t>ﾀﾏﾅﾃﾝ</t>
  </si>
  <si>
    <t>ﾋｶﾞｼﾔﾂｼﾛﾃﾝ</t>
  </si>
  <si>
    <t>ﾋﾄﾖｼﾃﾝ</t>
  </si>
  <si>
    <t>ｱｻｷﾞﾘﾃﾝ</t>
  </si>
  <si>
    <t>ﾅｶﾞｽﾃﾝ</t>
  </si>
  <si>
    <t>ｳｷﾃﾝ</t>
  </si>
  <si>
    <t>ｵｵﾂﾞﾃﾝ</t>
  </si>
  <si>
    <t>ﾀｶﾓﾘﾃﾝ</t>
  </si>
  <si>
    <t>ｵｸﾞﾆﾃﾝ</t>
  </si>
  <si>
    <t>ｱｿﾃﾝ</t>
  </si>
  <si>
    <t>ｵｵﾔﾉﾃﾝ</t>
  </si>
  <si>
    <t>ﾂﾅｷﾞﾃﾝ</t>
  </si>
  <si>
    <t>ｱｼｷﾀﾃﾝ</t>
  </si>
  <si>
    <t>ﾆｼｵｵｲﾀﾃﾝ</t>
  </si>
  <si>
    <t>ﾂﾙｻｷﾃﾝ</t>
  </si>
  <si>
    <t>ﾋｶﾞｼｵｵｲﾀﾃﾝ</t>
  </si>
  <si>
    <t>PPｵｵｲﾀﾃﾝ</t>
  </si>
  <si>
    <t>ｵｵｲﾀﾃﾝ</t>
  </si>
  <si>
    <t>ﾅｶﾂﾃﾝ</t>
  </si>
  <si>
    <t>ﾅｶﾂﾐﾅﾐﾃﾝ</t>
  </si>
  <si>
    <t>ｷﾂｷﾃﾝ</t>
  </si>
  <si>
    <t>ﾍﾞｯﾌﾟﾂﾙﾐﾃﾝ</t>
  </si>
  <si>
    <t>ﾍﾞｯﾌﾟﾃﾝ</t>
  </si>
  <si>
    <t>ｻｲｷﾃﾝ</t>
  </si>
  <si>
    <t>ﾋﾀﾃﾝ</t>
  </si>
  <si>
    <t>ｳｻﾃﾝ</t>
  </si>
  <si>
    <t>ﾂｸﾐﾃﾝ</t>
  </si>
  <si>
    <t>ｸｽﾃﾝ</t>
  </si>
  <si>
    <t>ｻﾄﾞﾜﾗﾃﾝ</t>
  </si>
  <si>
    <t>ﾐﾔｻﾞｷﾃﾝ</t>
  </si>
  <si>
    <t>ﾐﾅﾐﾐﾔｻﾞｷﾃﾝ</t>
  </si>
  <si>
    <t>ｵｵﾂｶﾃﾝ</t>
  </si>
  <si>
    <t>ｱﾔﾃﾝ</t>
  </si>
  <si>
    <t>ｻｲﾄﾃﾝ</t>
  </si>
  <si>
    <t>ﾋｭｳｶﾞﾃﾝ</t>
  </si>
  <si>
    <t>ﾀｶﾅﾍﾞﾃﾝ</t>
  </si>
  <si>
    <t>ｷﾀﾐﾔｺﾉｼﾞｮｳﾃﾝ</t>
  </si>
  <si>
    <t>ﾐﾅﾐﾐﾔｺﾉｼﾞｮｳﾃﾝ</t>
  </si>
  <si>
    <t>ｺﾊﾞﾔｼﾃﾝ</t>
  </si>
  <si>
    <t>ｸｼﾏﾃﾝ</t>
  </si>
  <si>
    <t>ﾉﾍﾞｵｶﾐﾅﾐﾃﾝ</t>
  </si>
  <si>
    <t>ﾂﾉﾃﾝ</t>
  </si>
  <si>
    <t>ｷﾖﾀｹﾃﾝ</t>
  </si>
  <si>
    <t>ﾆﾁﾅﾝﾃﾝ</t>
  </si>
  <si>
    <t>ｴﾋﾞﾉﾃﾝ</t>
  </si>
  <si>
    <t>ｶｺﾞｼﾏﾄｳｶｲﾃﾝ</t>
  </si>
  <si>
    <t>ﾀﾆﾔﾏﾃﾝ</t>
  </si>
  <si>
    <t>ｲﾌﾞｽｷﾃﾝ</t>
  </si>
  <si>
    <t>ｴｲﾃﾝ</t>
  </si>
  <si>
    <t>ﾀﾙﾐｽﾞﾃﾝ</t>
  </si>
  <si>
    <t>ｶﾉﾔﾃﾝ</t>
  </si>
  <si>
    <t>ﾐﾅﾐｵｵｽﾐﾃﾝ</t>
  </si>
  <si>
    <t>ｾﾝﾀﾞｲﾃﾝ</t>
  </si>
  <si>
    <t>ﾐﾔﾉｼﾞｮｳﾃﾝ</t>
  </si>
  <si>
    <t>ｵｵｸﾞﾁﾃﾝ</t>
  </si>
  <si>
    <t>ﾋｼｶﾘﾃﾝ</t>
  </si>
  <si>
    <t>ｸｼｷﾉﾃﾝ</t>
  </si>
  <si>
    <t>ｶｾﾀﾞﾃﾝ</t>
  </si>
  <si>
    <t>ﾁﾗﾝﾃﾝ</t>
  </si>
  <si>
    <t>ｲｽﾞﾐﾃﾝ</t>
  </si>
  <si>
    <t>ｺｸﾌﾞﾃﾝ</t>
  </si>
  <si>
    <t>ﾊﾔﾄﾃﾝ</t>
  </si>
  <si>
    <t>ｱｲﾗﾃﾝ</t>
  </si>
  <si>
    <t>ｼﾌﾞｼﾃﾝ</t>
  </si>
  <si>
    <t>ｵｵｻｷﾃﾝ</t>
  </si>
  <si>
    <t>ｵｵｽﾐﾃﾝ</t>
  </si>
  <si>
    <t>店名カナ</t>
    <rPh sb="0" eb="2">
      <t>テンメイ</t>
    </rPh>
    <phoneticPr fontId="8"/>
  </si>
  <si>
    <t>日野店</t>
  </si>
  <si>
    <t>四街道店</t>
  </si>
  <si>
    <t>市原東店</t>
  </si>
  <si>
    <t>日立北店</t>
  </si>
  <si>
    <t>茅野店</t>
  </si>
  <si>
    <t>塩山店</t>
  </si>
  <si>
    <t>富士店</t>
  </si>
  <si>
    <t>富士宮店</t>
  </si>
  <si>
    <t>丸子店</t>
  </si>
  <si>
    <t>島田店</t>
  </si>
  <si>
    <t>湖西店</t>
  </si>
  <si>
    <t>浜松東店</t>
  </si>
  <si>
    <t>掛川店</t>
  </si>
  <si>
    <t>大須賀店</t>
  </si>
  <si>
    <t>浜岡店</t>
  </si>
  <si>
    <t>守山店</t>
  </si>
  <si>
    <t>犬山店</t>
  </si>
  <si>
    <t>瀬戸みずの店</t>
  </si>
  <si>
    <t>養老店</t>
  </si>
  <si>
    <t>松任店</t>
  </si>
  <si>
    <t>かほく店</t>
  </si>
  <si>
    <t>上市店</t>
  </si>
  <si>
    <t>名張店</t>
  </si>
  <si>
    <t>高島店</t>
  </si>
  <si>
    <t>滋賀大津店</t>
  </si>
  <si>
    <t>湖南店</t>
  </si>
  <si>
    <t>彦根店</t>
  </si>
  <si>
    <t>高月店</t>
  </si>
  <si>
    <t>南江口店</t>
  </si>
  <si>
    <t>河内長野店</t>
  </si>
  <si>
    <t>泉大津店</t>
  </si>
  <si>
    <t>阪南スカイタウン店</t>
  </si>
  <si>
    <t>榛原店</t>
  </si>
  <si>
    <t>御所店</t>
  </si>
  <si>
    <t>和歌山有田店</t>
  </si>
  <si>
    <t>かつらぎ店</t>
  </si>
  <si>
    <t>橋本店</t>
  </si>
  <si>
    <t>鹿の子台店</t>
  </si>
  <si>
    <t>西神戸店</t>
  </si>
  <si>
    <t>大久保インター店</t>
  </si>
  <si>
    <t>灘店</t>
  </si>
  <si>
    <t>猪名川店</t>
  </si>
  <si>
    <t>豊岡店</t>
  </si>
  <si>
    <t>東姫路店</t>
  </si>
  <si>
    <t>三木店</t>
  </si>
  <si>
    <t>加古川店</t>
  </si>
  <si>
    <t>南加古川店</t>
  </si>
  <si>
    <t>西加古川店</t>
  </si>
  <si>
    <t>西脇店</t>
  </si>
  <si>
    <t>赤穂店</t>
  </si>
  <si>
    <t>神崎店</t>
  </si>
  <si>
    <t>鳥取店</t>
  </si>
  <si>
    <t>倉吉北店</t>
  </si>
  <si>
    <t>米子東店</t>
  </si>
  <si>
    <t>松江店</t>
  </si>
  <si>
    <t>北出雲店</t>
  </si>
  <si>
    <t>大田店</t>
  </si>
  <si>
    <t>浜田店</t>
  </si>
  <si>
    <t>益田北店</t>
  </si>
  <si>
    <t>湖陵店</t>
  </si>
  <si>
    <t>雲南店</t>
  </si>
  <si>
    <t>西江津店</t>
  </si>
  <si>
    <t>大福店</t>
  </si>
  <si>
    <t>赤磐店</t>
  </si>
  <si>
    <t>北赤磐店</t>
  </si>
  <si>
    <t>瀬戸内店</t>
  </si>
  <si>
    <t>美作インター店</t>
  </si>
  <si>
    <t>和気店</t>
  </si>
  <si>
    <t>南倉敷店</t>
  </si>
  <si>
    <t>矢掛店</t>
  </si>
  <si>
    <t>井原店</t>
  </si>
  <si>
    <t>高梁店</t>
  </si>
  <si>
    <t>鴨方インター店</t>
  </si>
  <si>
    <t>総社店</t>
  </si>
  <si>
    <t>駅家店</t>
  </si>
  <si>
    <t>世羅店</t>
  </si>
  <si>
    <t>庄原店</t>
  </si>
  <si>
    <t>三次店</t>
  </si>
  <si>
    <t>本郷店</t>
  </si>
  <si>
    <t>新市店</t>
  </si>
  <si>
    <t>吉田店</t>
  </si>
  <si>
    <t>西風新都店</t>
  </si>
  <si>
    <t>熊野店</t>
  </si>
  <si>
    <t>広島ベイサイド店</t>
  </si>
  <si>
    <t>西広島店</t>
  </si>
  <si>
    <t>音戸店</t>
  </si>
  <si>
    <t>安浦店</t>
  </si>
  <si>
    <t>阿品店</t>
  </si>
  <si>
    <t>東広島店</t>
  </si>
  <si>
    <t>甲田店</t>
  </si>
  <si>
    <t>白木店</t>
  </si>
  <si>
    <t>黒瀬店</t>
  </si>
  <si>
    <t>東柳井店</t>
  </si>
  <si>
    <t>平生店</t>
  </si>
  <si>
    <t>田布施店</t>
  </si>
  <si>
    <t>東下松店</t>
  </si>
  <si>
    <t>２１Ｓ徳山店</t>
  </si>
  <si>
    <t>豊田店</t>
  </si>
  <si>
    <t>下関シーサイド店</t>
  </si>
  <si>
    <t>美東店</t>
  </si>
  <si>
    <t>小野田店</t>
  </si>
  <si>
    <t>徳佐店</t>
  </si>
  <si>
    <t>美祢店</t>
  </si>
  <si>
    <t>油谷店</t>
  </si>
  <si>
    <t>川棚店</t>
  </si>
  <si>
    <t>周南店</t>
  </si>
  <si>
    <t>善通寺店</t>
  </si>
  <si>
    <t>豊中店</t>
  </si>
  <si>
    <t>鳴門店</t>
  </si>
  <si>
    <t>プラザ門司店</t>
  </si>
  <si>
    <t>東インター店</t>
  </si>
  <si>
    <t>小倉南店</t>
  </si>
  <si>
    <t>苅田店</t>
  </si>
  <si>
    <t>門司シーサイド店</t>
  </si>
  <si>
    <t>小倉北店</t>
  </si>
  <si>
    <t>富野店</t>
  </si>
  <si>
    <t>鞘ヶ谷店</t>
  </si>
  <si>
    <t>八幡東店</t>
  </si>
  <si>
    <t>水巻店</t>
  </si>
  <si>
    <t>上津役店</t>
  </si>
  <si>
    <t>星ヶ丘店</t>
  </si>
  <si>
    <t>鞍手店</t>
  </si>
  <si>
    <t>西若松店</t>
  </si>
  <si>
    <t>ひびきの店</t>
  </si>
  <si>
    <t>福岡東店</t>
  </si>
  <si>
    <t>南那珂川店</t>
  </si>
  <si>
    <t>粕屋店</t>
  </si>
  <si>
    <t>トリアス久山店</t>
  </si>
  <si>
    <t>２１Ｓ宗像店</t>
  </si>
  <si>
    <t>岡垣店</t>
  </si>
  <si>
    <t>福岡空港店</t>
  </si>
  <si>
    <t>南福岡店</t>
  </si>
  <si>
    <t>博多店</t>
  </si>
  <si>
    <t>筑紫店</t>
  </si>
  <si>
    <t>元岡店</t>
  </si>
  <si>
    <t>二丈店</t>
  </si>
  <si>
    <t>庄内店</t>
  </si>
  <si>
    <t>稲築店</t>
  </si>
  <si>
    <t>宮田店</t>
  </si>
  <si>
    <t>プラザ行橋店</t>
  </si>
  <si>
    <t>川崎店</t>
  </si>
  <si>
    <t>フレスポ豊前店</t>
  </si>
  <si>
    <t>椎田店</t>
  </si>
  <si>
    <t>南久留米店</t>
  </si>
  <si>
    <t>城島店</t>
  </si>
  <si>
    <t>大刀洗店</t>
  </si>
  <si>
    <t>広川店</t>
  </si>
  <si>
    <t>黒木店</t>
  </si>
  <si>
    <t>瀬高店</t>
  </si>
  <si>
    <t>甘木インター店</t>
  </si>
  <si>
    <t>筑前店</t>
  </si>
  <si>
    <t>杷木店</t>
  </si>
  <si>
    <t>南佐賀店</t>
  </si>
  <si>
    <t>鳥栖店</t>
  </si>
  <si>
    <t>有田店</t>
  </si>
  <si>
    <t>小城店</t>
  </si>
  <si>
    <t>多久インター店</t>
  </si>
  <si>
    <t>唐津店</t>
  </si>
  <si>
    <t>Ｆ福田店</t>
  </si>
  <si>
    <t>南長崎店</t>
  </si>
  <si>
    <t>東長崎店</t>
  </si>
  <si>
    <t>時津店</t>
  </si>
  <si>
    <t>畝刈店</t>
  </si>
  <si>
    <t>琴海店</t>
  </si>
  <si>
    <t>西海店</t>
  </si>
  <si>
    <t>東諌早店</t>
  </si>
  <si>
    <t>愛野店</t>
  </si>
  <si>
    <t>島原店</t>
  </si>
  <si>
    <t>南大村店</t>
  </si>
  <si>
    <t>佐世保みなとインター</t>
  </si>
  <si>
    <t>高来店</t>
  </si>
  <si>
    <t>国見店</t>
  </si>
  <si>
    <t>口之津店</t>
  </si>
  <si>
    <t>佐世保東店</t>
  </si>
  <si>
    <t>波佐見店</t>
  </si>
  <si>
    <t>田平店</t>
  </si>
  <si>
    <t>平戸店</t>
  </si>
  <si>
    <t>江迎店</t>
  </si>
  <si>
    <t>山鹿店</t>
  </si>
  <si>
    <t>菊南店</t>
  </si>
  <si>
    <t>菊池店</t>
  </si>
  <si>
    <t>西原店</t>
  </si>
  <si>
    <t>富合店</t>
  </si>
  <si>
    <t>城南店</t>
  </si>
  <si>
    <t>美里店</t>
  </si>
  <si>
    <t>本渡店</t>
  </si>
  <si>
    <t>荒尾東店</t>
  </si>
  <si>
    <t>玉名店</t>
  </si>
  <si>
    <t>東八代店</t>
  </si>
  <si>
    <t>あさぎり店</t>
  </si>
  <si>
    <t>長洲店</t>
  </si>
  <si>
    <t>宇城店</t>
  </si>
  <si>
    <t>高森店</t>
  </si>
  <si>
    <t>小国店</t>
  </si>
  <si>
    <t>阿蘇店</t>
  </si>
  <si>
    <t>大矢野店</t>
  </si>
  <si>
    <t>津奈木店</t>
  </si>
  <si>
    <t>芦北店</t>
  </si>
  <si>
    <t>西大分店</t>
  </si>
  <si>
    <t>鶴崎店</t>
  </si>
  <si>
    <t>ＰＰ大分店</t>
  </si>
  <si>
    <t>杵築店</t>
  </si>
  <si>
    <t>別府鶴見店</t>
  </si>
  <si>
    <t>佐伯店</t>
  </si>
  <si>
    <t>津久見店</t>
  </si>
  <si>
    <t>玖珠店</t>
  </si>
  <si>
    <t>綾店</t>
  </si>
  <si>
    <t>西都店</t>
  </si>
  <si>
    <t>高鍋店</t>
  </si>
  <si>
    <t>北都城店</t>
  </si>
  <si>
    <t>南都城店</t>
  </si>
  <si>
    <t>小林店</t>
  </si>
  <si>
    <t>延岡南店</t>
  </si>
  <si>
    <t>都農店</t>
  </si>
  <si>
    <t>清武店</t>
  </si>
  <si>
    <t>鹿児島東開店</t>
  </si>
  <si>
    <t>谷山店</t>
  </si>
  <si>
    <t>頴娃店</t>
  </si>
  <si>
    <t>垂水店</t>
  </si>
  <si>
    <t>南大隅店</t>
  </si>
  <si>
    <t>宮之城店</t>
  </si>
  <si>
    <t>菱刈店</t>
  </si>
  <si>
    <t>串木野店</t>
  </si>
  <si>
    <t>加世田店</t>
  </si>
  <si>
    <t>知覧店</t>
  </si>
  <si>
    <t>国分店</t>
  </si>
  <si>
    <t>隼人店</t>
  </si>
  <si>
    <t>志布志店</t>
  </si>
  <si>
    <t>大崎店</t>
  </si>
  <si>
    <t>大隅店</t>
  </si>
  <si>
    <t>ナフコ商品センター（第一倉庫）</t>
  </si>
  <si>
    <t>北九州物流センター</t>
  </si>
  <si>
    <t>年</t>
    <rPh sb="0" eb="1">
      <t>ネン</t>
    </rPh>
    <phoneticPr fontId="6"/>
  </si>
  <si>
    <t>月</t>
    <rPh sb="0" eb="1">
      <t>ガツ</t>
    </rPh>
    <phoneticPr fontId="6"/>
  </si>
  <si>
    <t>日</t>
    <rPh sb="0" eb="1">
      <t>ニチ</t>
    </rPh>
    <phoneticPr fontId="6"/>
  </si>
  <si>
    <t>上の日付を実際受注した日に合わせてください！</t>
    <rPh sb="0" eb="1">
      <t>ウエ</t>
    </rPh>
    <rPh sb="2" eb="4">
      <t>ヒヅケ</t>
    </rPh>
    <rPh sb="5" eb="7">
      <t>ジッサイ</t>
    </rPh>
    <rPh sb="7" eb="9">
      <t>ジュチュウ</t>
    </rPh>
    <rPh sb="11" eb="12">
      <t>ビ</t>
    </rPh>
    <rPh sb="13" eb="14">
      <t>ア</t>
    </rPh>
    <phoneticPr fontId="6"/>
  </si>
  <si>
    <t>５～２０㎜／２０ｋｇ</t>
  </si>
  <si>
    <t>深型一輪車NP</t>
  </si>
  <si>
    <t>WB3502N</t>
  </si>
  <si>
    <t>マツモト産業</t>
  </si>
  <si>
    <t>浅型一輪車AW</t>
  </si>
  <si>
    <t>WB2709AW</t>
  </si>
  <si>
    <t>FP1301</t>
  </si>
  <si>
    <t>TC4510AL</t>
  </si>
  <si>
    <t>軽量ノーパンクタイヤ</t>
  </si>
  <si>
    <t>アルミ深型一輪車NP</t>
  </si>
  <si>
    <t>WB3503AL</t>
  </si>
  <si>
    <t>FP1301PU</t>
  </si>
  <si>
    <t>保留継続</t>
    <rPh sb="0" eb="2">
      <t>ホリュウ</t>
    </rPh>
    <rPh sb="2" eb="4">
      <t>ケイゾク</t>
    </rPh>
    <phoneticPr fontId="8"/>
  </si>
  <si>
    <t>アルミコンテナカー用ノーパンクタイヤ</t>
  </si>
  <si>
    <t>FP2504</t>
  </si>
  <si>
    <t>発注区分</t>
    <rPh sb="0" eb="2">
      <t>ハッチュウ</t>
    </rPh>
    <rPh sb="2" eb="4">
      <t>クブン</t>
    </rPh>
    <phoneticPr fontId="8"/>
  </si>
  <si>
    <t>ﾋﾞｾﾞﾝﾃﾝ</t>
  </si>
  <si>
    <t>ｼﾝｼｭｳﾅｶﾉﾃﾝ</t>
  </si>
  <si>
    <t>383-0015</t>
  </si>
  <si>
    <t>長野県中野市大字吉田９２２番地１</t>
  </si>
  <si>
    <t>0269-24-1181</t>
  </si>
  <si>
    <t>0269-24-1180</t>
  </si>
  <si>
    <t>705-0033</t>
  </si>
  <si>
    <t>岡山県備前市穂浪２５４２番地３</t>
  </si>
  <si>
    <t>0869-67-9661</t>
  </si>
  <si>
    <t>0869-67-9660</t>
  </si>
  <si>
    <t>尾道店</t>
  </si>
  <si>
    <t>ｵﾉﾐﾁﾃﾝ</t>
  </si>
  <si>
    <t>722-0051</t>
  </si>
  <si>
    <t>広島県尾道市東尾道９番地５</t>
  </si>
  <si>
    <t>0848-56-0771</t>
  </si>
  <si>
    <t>0848-56-0770</t>
  </si>
  <si>
    <t>和田山インター店</t>
  </si>
  <si>
    <t>ﾜﾀﾞﾔﾏｲﾝﾀｰﾃﾝ</t>
  </si>
  <si>
    <t>669-5262</t>
  </si>
  <si>
    <t>兵庫県朝来市和田山町市御堂１４番地３</t>
  </si>
  <si>
    <t>079-670-1151</t>
  </si>
  <si>
    <t>079-670-1150</t>
  </si>
  <si>
    <t>アルミ伸縮コンテナカー</t>
  </si>
  <si>
    <t>TC4513ALNP</t>
  </si>
  <si>
    <t>土のう／山砂</t>
  </si>
  <si>
    <t>２５ｋｇ</t>
  </si>
  <si>
    <t>MKL</t>
  </si>
  <si>
    <t>深型一輪車AW</t>
  </si>
  <si>
    <t>WB3502AW</t>
  </si>
  <si>
    <t>浅型二輪車NP</t>
  </si>
  <si>
    <t>WB2709F</t>
  </si>
  <si>
    <t>１８ｋｇ</t>
  </si>
  <si>
    <t>歩道上１００</t>
  </si>
  <si>
    <t>歩道上１２０</t>
  </si>
  <si>
    <t>歩道上１５０</t>
  </si>
  <si>
    <t>角型旗立石</t>
  </si>
  <si>
    <t>１フレコン</t>
  </si>
  <si>
    <t>１ｍＵ字溝９０本体</t>
  </si>
  <si>
    <t>真砂土</t>
  </si>
  <si>
    <t>ナフコ</t>
  </si>
  <si>
    <t>PT</t>
  </si>
  <si>
    <t>０．１５～２．５㎜／</t>
  </si>
  <si>
    <t>ホワイトバラス（小）</t>
  </si>
  <si>
    <t>ホワイトバラス（大）</t>
  </si>
  <si>
    <t>路盤材　20kg</t>
  </si>
  <si>
    <t>真砂土　20kg</t>
  </si>
  <si>
    <t>白バラス2分</t>
  </si>
  <si>
    <t>白バラス3分</t>
  </si>
  <si>
    <t>白バラス6分</t>
  </si>
  <si>
    <t>CT</t>
  </si>
  <si>
    <t>SET</t>
  </si>
  <si>
    <t>Ｕ字溝６０本体</t>
  </si>
  <si>
    <t>kg</t>
  </si>
  <si>
    <t>Ｕ字溝９０本体</t>
  </si>
  <si>
    <t>Ｕ字溝１２０本体</t>
  </si>
  <si>
    <t>Ｕ字溝１５０本体</t>
  </si>
  <si>
    <t>Ｕ字溝１８０本体</t>
  </si>
  <si>
    <t>Ｕ字溝２４０本体</t>
  </si>
  <si>
    <t>Ｕ字溝３００本体</t>
  </si>
  <si>
    <t>Ｕ字溝６０フタ</t>
  </si>
  <si>
    <t>Ｕ字溝９０フタ</t>
  </si>
  <si>
    <t>Ｕ字溝１２０フタ</t>
  </si>
  <si>
    <t>Ｕ字溝１５０フタ</t>
  </si>
  <si>
    <t>Ｕ字溝１８０フタ</t>
  </si>
  <si>
    <t>Ｕ字溝２４０フタ</t>
  </si>
  <si>
    <t>Ｕ字溝３００フタ</t>
  </si>
  <si>
    <t>１ｍＵ字溝６０本体</t>
  </si>
  <si>
    <t>１ｍＵ字溝１２０本体</t>
  </si>
  <si>
    <t>１ｍＵ字溝１５０本体</t>
  </si>
  <si>
    <t>溜桝落蓋式１８０本体</t>
  </si>
  <si>
    <t>溜桝落蓋式２４０本体</t>
  </si>
  <si>
    <t>溜桝落蓋式３００本体</t>
  </si>
  <si>
    <t>溜桝落蓋式１８０フタ</t>
  </si>
  <si>
    <t>溜桝落蓋式２４０フタ</t>
  </si>
  <si>
    <t>溜桝落蓋式３００フタ</t>
  </si>
  <si>
    <t>補助桝１８０用</t>
  </si>
  <si>
    <t>補助桝２４０用</t>
  </si>
  <si>
    <t>補助桝３００用</t>
  </si>
  <si>
    <t>沓脱石１５０</t>
  </si>
  <si>
    <t>沓脱石２３０</t>
  </si>
  <si>
    <t>車止め５００</t>
  </si>
  <si>
    <t>車止め６００</t>
  </si>
  <si>
    <t>車止め用アンカーピン</t>
  </si>
  <si>
    <t>縁石６００　１００×１００</t>
  </si>
  <si>
    <t>縁石６００　１００×１２０</t>
  </si>
  <si>
    <t>縁石６００　１００×１５０</t>
  </si>
  <si>
    <t>縁石６００　１２０×１２０</t>
  </si>
  <si>
    <t>縁石１０００　１００×１００</t>
  </si>
  <si>
    <t>平板コンクリート ２５０角</t>
  </si>
  <si>
    <t>平板コンクリート ３００角</t>
  </si>
  <si>
    <t>平板コンクリート 長方形</t>
  </si>
  <si>
    <t>束石２×４用　小</t>
  </si>
  <si>
    <t>束石２×４用　大</t>
  </si>
  <si>
    <t>束石ピンコロ　Ｈ－６０</t>
  </si>
  <si>
    <t>束石ピンコロ　Ｈ－１２０</t>
  </si>
  <si>
    <t>束石ピンコロ　Ｈ－１５０</t>
  </si>
  <si>
    <t>羽子板付束石 Ｈ－１２０</t>
  </si>
  <si>
    <t>羽子板付束石 Ｈ－１５０</t>
  </si>
  <si>
    <t>羽子板付束石 Ｈ－１８０</t>
  </si>
  <si>
    <t>羽子板付束石 Ｈ－２４０</t>
  </si>
  <si>
    <t>羽子板付束石 Ｈ－２７０</t>
  </si>
  <si>
    <t>羽子板付束石 Ｈ－３００</t>
  </si>
  <si>
    <t>束石台形　Ｈ－１８０</t>
  </si>
  <si>
    <t>束石台形　Ｈ－２４０</t>
  </si>
  <si>
    <t>束石台形　Ｈ－２７０</t>
  </si>
  <si>
    <t>丸型旗立石</t>
  </si>
  <si>
    <t>単管ベース　小</t>
  </si>
  <si>
    <t>単管ベース　大</t>
  </si>
  <si>
    <t>ラティス支柱用基礎</t>
  </si>
  <si>
    <t>フェンス基礎　１９０角</t>
  </si>
  <si>
    <t>フェンス基礎　Ｈ－３００</t>
  </si>
  <si>
    <t>フェンス基礎　Ｈ－４５０</t>
  </si>
  <si>
    <t>多目的ベース　小</t>
  </si>
  <si>
    <t>多目的ベース　大</t>
  </si>
  <si>
    <t>盆栽棚コンクリート　小</t>
  </si>
  <si>
    <t>盆栽棚コンクリート　中</t>
  </si>
  <si>
    <t>盆栽棚コンクリート　大</t>
  </si>
  <si>
    <t>スペーサー</t>
  </si>
  <si>
    <t>スペーサー５０個入り</t>
  </si>
  <si>
    <t>建デポ</t>
  </si>
  <si>
    <t>生セメント　25kg（T九州）</t>
  </si>
  <si>
    <t>砂　18kg</t>
  </si>
  <si>
    <t>バラス　小</t>
  </si>
  <si>
    <t>５～１３　１８ｋｇ</t>
  </si>
  <si>
    <t>バラス　大</t>
  </si>
  <si>
    <t>１３～２０　１８ｋｇ</t>
  </si>
  <si>
    <t>路盤材　約18kg</t>
  </si>
  <si>
    <t>ハンズマン</t>
  </si>
  <si>
    <t>砂18kg</t>
  </si>
  <si>
    <t>砕石バラス18kg</t>
  </si>
  <si>
    <t>１８ｋｇ小</t>
  </si>
  <si>
    <t>アイリス</t>
  </si>
  <si>
    <t>園芸の培養土20ℓ</t>
  </si>
  <si>
    <t>２０ℓ</t>
  </si>
  <si>
    <t>EE培養土14ℓ</t>
  </si>
  <si>
    <t>１４ℓ</t>
  </si>
  <si>
    <t>牛ふん堆肥30ℓ</t>
  </si>
  <si>
    <t>３０ℓ</t>
  </si>
  <si>
    <t>牛ふん堆肥20ℓ</t>
  </si>
  <si>
    <t>トライアル培養土20ℓ</t>
  </si>
  <si>
    <t>雑コード商品</t>
  </si>
  <si>
    <t>自社コード</t>
    <rPh sb="0" eb="2">
      <t>ジシャ</t>
    </rPh>
    <phoneticPr fontId="8"/>
  </si>
  <si>
    <t>得意先</t>
    <rPh sb="0" eb="3">
      <t>トクイサキ</t>
    </rPh>
    <phoneticPr fontId="8"/>
  </si>
  <si>
    <t>ジャンル</t>
    <phoneticPr fontId="8"/>
  </si>
  <si>
    <t>商品名</t>
    <rPh sb="0" eb="3">
      <t>ショウヒンメイ</t>
    </rPh>
    <phoneticPr fontId="8"/>
  </si>
  <si>
    <t>規格</t>
    <rPh sb="0" eb="2">
      <t>キカク</t>
    </rPh>
    <phoneticPr fontId="8"/>
  </si>
  <si>
    <t>配送担当</t>
    <rPh sb="0" eb="2">
      <t>ハイソウ</t>
    </rPh>
    <rPh sb="2" eb="4">
      <t>タントウ</t>
    </rPh>
    <phoneticPr fontId="8"/>
  </si>
  <si>
    <t>単価</t>
    <rPh sb="0" eb="2">
      <t>タンカ</t>
    </rPh>
    <phoneticPr fontId="8"/>
  </si>
  <si>
    <t>売価</t>
    <rPh sb="0" eb="2">
      <t>バイカ</t>
    </rPh>
    <phoneticPr fontId="8"/>
  </si>
  <si>
    <t>JANコード</t>
    <phoneticPr fontId="8"/>
  </si>
  <si>
    <t>単品重量</t>
    <rPh sb="0" eb="2">
      <t>タンピン</t>
    </rPh>
    <rPh sb="2" eb="4">
      <t>ジュウリョウ</t>
    </rPh>
    <phoneticPr fontId="8"/>
  </si>
  <si>
    <t>単位</t>
    <rPh sb="0" eb="2">
      <t>タンイ</t>
    </rPh>
    <phoneticPr fontId="8"/>
  </si>
  <si>
    <t>PT単位か</t>
    <rPh sb="2" eb="4">
      <t>タンイ</t>
    </rPh>
    <phoneticPr fontId="8"/>
  </si>
  <si>
    <t>口数</t>
    <rPh sb="0" eb="1">
      <t>クチ</t>
    </rPh>
    <rPh sb="1" eb="2">
      <t>スウ</t>
    </rPh>
    <phoneticPr fontId="8"/>
  </si>
  <si>
    <t>品名漢字</t>
    <rPh sb="0" eb="2">
      <t>ヒンメイ</t>
    </rPh>
    <rPh sb="2" eb="4">
      <t>カンジ</t>
    </rPh>
    <phoneticPr fontId="8"/>
  </si>
  <si>
    <t>発注数量</t>
    <rPh sb="0" eb="2">
      <t>ハッチュウ</t>
    </rPh>
    <rPh sb="2" eb="4">
      <t>スウリョウ</t>
    </rPh>
    <phoneticPr fontId="8"/>
  </si>
  <si>
    <t>県別</t>
    <rPh sb="0" eb="2">
      <t>ケンベツ</t>
    </rPh>
    <phoneticPr fontId="8"/>
  </si>
  <si>
    <t>ダブリ</t>
    <phoneticPr fontId="8"/>
  </si>
  <si>
    <t>一旦保留</t>
    <rPh sb="0" eb="4">
      <t>イッタンホリュウ</t>
    </rPh>
    <phoneticPr fontId="8"/>
  </si>
  <si>
    <t>キャンセル</t>
    <phoneticPr fontId="8"/>
  </si>
  <si>
    <t>行数</t>
    <rPh sb="0" eb="2">
      <t>ギョウスウ</t>
    </rPh>
    <phoneticPr fontId="8"/>
  </si>
  <si>
    <t>id受注データ</t>
    <rPh sb="2" eb="4">
      <t>ジュチュウ</t>
    </rPh>
    <phoneticPr fontId="8"/>
  </si>
  <si>
    <t>id</t>
    <phoneticPr fontId="8"/>
  </si>
  <si>
    <t>品名</t>
    <rPh sb="0" eb="2">
      <t>ヒンメイ</t>
    </rPh>
    <phoneticPr fontId="8"/>
  </si>
  <si>
    <t>重量</t>
    <rPh sb="0" eb="2">
      <t>ジュウリョウ</t>
    </rPh>
    <phoneticPr fontId="8"/>
  </si>
  <si>
    <t>社内伝番</t>
    <rPh sb="0" eb="4">
      <t>シャナイデンバン</t>
    </rPh>
    <phoneticPr fontId="8"/>
  </si>
  <si>
    <t>最大行数</t>
    <rPh sb="0" eb="4">
      <t>サイダイギョウスウ</t>
    </rPh>
    <phoneticPr fontId="8"/>
  </si>
  <si>
    <t>受注日</t>
    <rPh sb="0" eb="2">
      <t>ジュチュウ</t>
    </rPh>
    <rPh sb="2" eb="3">
      <t>ビ</t>
    </rPh>
    <phoneticPr fontId="8"/>
  </si>
  <si>
    <t>店番</t>
    <rPh sb="0" eb="2">
      <t>テンバン</t>
    </rPh>
    <phoneticPr fontId="8"/>
  </si>
  <si>
    <t>店名</t>
    <rPh sb="0" eb="2">
      <t>テンメイ</t>
    </rPh>
    <phoneticPr fontId="8"/>
  </si>
  <si>
    <t>納品指示</t>
    <rPh sb="0" eb="2">
      <t>ノウヒン</t>
    </rPh>
    <rPh sb="2" eb="4">
      <t>シジ</t>
    </rPh>
    <phoneticPr fontId="8"/>
  </si>
  <si>
    <t>備考</t>
    <rPh sb="0" eb="2">
      <t>ビコウ</t>
    </rPh>
    <phoneticPr fontId="8"/>
  </si>
  <si>
    <t>社内伝番ラスト番号</t>
    <rPh sb="0" eb="4">
      <t>シャナイデンバン</t>
    </rPh>
    <rPh sb="7" eb="9">
      <t>バンゴウ</t>
    </rPh>
    <phoneticPr fontId="8"/>
  </si>
  <si>
    <t>北大村店</t>
  </si>
  <si>
    <t>筑後店</t>
  </si>
  <si>
    <t>TH-240</t>
  </si>
  <si>
    <t>KD-500</t>
  </si>
  <si>
    <t>UH-0610</t>
  </si>
  <si>
    <t>TH-300</t>
  </si>
  <si>
    <t>TF-300</t>
  </si>
  <si>
    <t>UH-0615</t>
  </si>
  <si>
    <t>UH-1015</t>
  </si>
  <si>
    <t>TH-180</t>
  </si>
  <si>
    <t>TF-240</t>
  </si>
  <si>
    <t>HM-1810</t>
  </si>
  <si>
    <t>TP-150</t>
  </si>
  <si>
    <t>UH-0618</t>
  </si>
  <si>
    <t>UF-0618</t>
  </si>
  <si>
    <t>HK-3060</t>
  </si>
  <si>
    <t>TP-120</t>
  </si>
  <si>
    <t>FK-450</t>
  </si>
  <si>
    <t>TF-180</t>
  </si>
  <si>
    <t>HT-120</t>
  </si>
  <si>
    <t>KP-175</t>
  </si>
  <si>
    <t>KF-061010</t>
  </si>
  <si>
    <t>HK-3030</t>
  </si>
  <si>
    <t>TD-180</t>
  </si>
  <si>
    <t>KH-270</t>
  </si>
  <si>
    <t>UF-0624</t>
  </si>
  <si>
    <t>HT-180</t>
  </si>
  <si>
    <t>UF-0615</t>
  </si>
  <si>
    <t>SP-6050</t>
  </si>
  <si>
    <t>UF-0630</t>
  </si>
  <si>
    <t>KF-101010</t>
  </si>
  <si>
    <t>UF-0612</t>
  </si>
  <si>
    <t>HM-2410</t>
  </si>
  <si>
    <t>HM-3010</t>
  </si>
  <si>
    <t>KD-600</t>
  </si>
  <si>
    <t>HT-240</t>
  </si>
  <si>
    <t>SP-60</t>
  </si>
  <si>
    <t>UH-0624</t>
  </si>
  <si>
    <t>HT-150</t>
  </si>
  <si>
    <t>HT-270</t>
  </si>
  <si>
    <t>UF-0606</t>
  </si>
  <si>
    <t>KF-061015</t>
  </si>
  <si>
    <t>UH-0609</t>
  </si>
  <si>
    <t>UH-0612</t>
  </si>
  <si>
    <t>KF-061012</t>
  </si>
  <si>
    <t>UH-1006</t>
  </si>
  <si>
    <t>UH-0606</t>
  </si>
  <si>
    <t>UF-0609</t>
  </si>
  <si>
    <t>TB-290</t>
  </si>
  <si>
    <t>UH-1012</t>
  </si>
  <si>
    <t>担当</t>
    <rPh sb="0" eb="2">
      <t>タントウ</t>
    </rPh>
    <phoneticPr fontId="8"/>
  </si>
  <si>
    <t>形態</t>
    <rPh sb="0" eb="2">
      <t>ケイタイ</t>
    </rPh>
    <phoneticPr fontId="8"/>
  </si>
  <si>
    <t>一旦保留</t>
    <rPh sb="0" eb="2">
      <t>イッタン</t>
    </rPh>
    <rPh sb="2" eb="4">
      <t>ホリュウ</t>
    </rPh>
    <phoneticPr fontId="8"/>
  </si>
  <si>
    <t>在庫状況</t>
    <rPh sb="0" eb="2">
      <t>ザイコ</t>
    </rPh>
    <rPh sb="2" eb="4">
      <t>ジョウキョウ</t>
    </rPh>
    <phoneticPr fontId="8"/>
  </si>
  <si>
    <t>在庫数</t>
    <rPh sb="0" eb="3">
      <t>ザイコスウ</t>
    </rPh>
    <phoneticPr fontId="8"/>
  </si>
  <si>
    <t>ダブり</t>
    <phoneticPr fontId="8"/>
  </si>
  <si>
    <t>店名（自動表示）</t>
    <rPh sb="0" eb="2">
      <t>テンメイ</t>
    </rPh>
    <rPh sb="3" eb="5">
      <t>ジドウ</t>
    </rPh>
    <rPh sb="5" eb="7">
      <t>ヒョウジ</t>
    </rPh>
    <phoneticPr fontId="8"/>
  </si>
  <si>
    <t>出荷日</t>
    <rPh sb="0" eb="3">
      <t>シュッカビ</t>
    </rPh>
    <phoneticPr fontId="8"/>
  </si>
  <si>
    <t>納品日</t>
    <rPh sb="0" eb="3">
      <t>ノウヒンビ</t>
    </rPh>
    <phoneticPr fontId="8"/>
  </si>
  <si>
    <t>ｷｬﾝｾﾙ</t>
    <phoneticPr fontId="8"/>
  </si>
  <si>
    <t>保留</t>
    <rPh sb="0" eb="2">
      <t>ホリュウ</t>
    </rPh>
    <phoneticPr fontId="8"/>
  </si>
  <si>
    <t>社内伝番</t>
    <rPh sb="0" eb="2">
      <t>シャナイ</t>
    </rPh>
    <rPh sb="2" eb="4">
      <t>デンバン</t>
    </rPh>
    <phoneticPr fontId="8"/>
  </si>
  <si>
    <t>最大行数</t>
    <rPh sb="0" eb="2">
      <t>サイダイ</t>
    </rPh>
    <rPh sb="2" eb="4">
      <t>ギョウスウ</t>
    </rPh>
    <phoneticPr fontId="8"/>
  </si>
  <si>
    <t>うきは店</t>
  </si>
  <si>
    <t>FK-190</t>
  </si>
  <si>
    <t>山崎店</t>
  </si>
  <si>
    <t>米原店</t>
  </si>
  <si>
    <t>UH-0630</t>
  </si>
  <si>
    <t>TB-250</t>
  </si>
  <si>
    <t>HA-120</t>
  </si>
  <si>
    <t>FK-300</t>
  </si>
  <si>
    <t>備前店</t>
  </si>
  <si>
    <t>MH-190</t>
  </si>
  <si>
    <t>HT-300</t>
  </si>
  <si>
    <t>NB-130</t>
  </si>
  <si>
    <t>NB-165</t>
  </si>
  <si>
    <t>BK-1200</t>
  </si>
  <si>
    <t>BK-0900</t>
  </si>
  <si>
    <t>HA-100</t>
  </si>
  <si>
    <t>HA-150</t>
  </si>
  <si>
    <t>BK-1500</t>
  </si>
  <si>
    <t>南部店</t>
  </si>
  <si>
    <t>石川住宅管理</t>
  </si>
  <si>
    <t>TP-060</t>
  </si>
  <si>
    <t>TD-240</t>
  </si>
  <si>
    <t>RK-300</t>
  </si>
  <si>
    <t>HK-2525</t>
  </si>
  <si>
    <t>FAX番号</t>
    <rPh sb="3" eb="5">
      <t>バンゴウ</t>
    </rPh>
    <phoneticPr fontId="6"/>
  </si>
  <si>
    <t>宮崎県都城市今町７７４９-１</t>
  </si>
  <si>
    <t>宮崎県小林市堤３０８９-１</t>
  </si>
  <si>
    <t>宮崎県都城市都北町１１０４-５</t>
  </si>
  <si>
    <t>鹿児島県薩摩川内市上川内町４６９８－1</t>
  </si>
  <si>
    <t>895-1803</t>
  </si>
  <si>
    <t>鹿児島県薩摩郡さつま町宮之城屋地１２９６－５</t>
  </si>
  <si>
    <t>鹿児島県肝属郡肝付町富山８４０番地</t>
  </si>
  <si>
    <t>鹿児島県伊佐市大口大田６１１番</t>
  </si>
  <si>
    <t>鹿児島県姶良市中津野７８３－１</t>
  </si>
  <si>
    <t>鹿児島県霧島市国分敷根６８６</t>
  </si>
  <si>
    <t>鹿児島県鹿児島市下福元町６７２３-２</t>
  </si>
  <si>
    <t>鹿児島県南さつま市加世田内山田２４３番地</t>
  </si>
  <si>
    <t>鹿児島県肝属郡南大隅町根占川南１０９６番地</t>
  </si>
  <si>
    <t>鹿児島県垂水市潮彩町２丁目１番１</t>
  </si>
  <si>
    <t>鹿児島県いちき串木野市平江１２５３８番１</t>
  </si>
  <si>
    <t>鹿児島県曽於郡大崎町永吉８１８８番４</t>
  </si>
  <si>
    <t>鹿児島県曽於市大隅町岩川７３８０-１</t>
  </si>
  <si>
    <t>鹿児島県霧島市隼人町東郷６番地２</t>
  </si>
  <si>
    <t>鹿児島県南九州市頴娃町御領６７８３-１</t>
  </si>
  <si>
    <t>鹿児島県南九州市知覧町瀬世ちょげさ原５４６９番１</t>
  </si>
  <si>
    <t>鹿児島県伊佐市菱刈重留１４０６番</t>
  </si>
  <si>
    <t>鹿児島県鹿児島市東開町４番地１５</t>
  </si>
  <si>
    <t>鹿児島県志布志市志布志町志布志４６４</t>
  </si>
  <si>
    <t>その他</t>
  </si>
  <si>
    <t>833-0043</t>
  </si>
  <si>
    <t>北九州市小倉北区末広２丁目１番１号</t>
  </si>
  <si>
    <t xml:space="preserve"> 093-512-5626</t>
  </si>
  <si>
    <t xml:space="preserve"> 093-512-5627</t>
  </si>
  <si>
    <t>三重県名張市鴻之台１番町７２番地</t>
  </si>
  <si>
    <t>兵庫県神戸市西区桜が丘中町３丁目２番２</t>
  </si>
  <si>
    <t>兵庫県加古川市野口町水足５６０番１１</t>
  </si>
  <si>
    <t>兵庫県神戸市灘区岩屋南町１番１号</t>
  </si>
  <si>
    <t>兵庫県加古川市米田町船頭１００-１</t>
  </si>
  <si>
    <t>兵庫県姫路市白浜町宇佐崎南２丁目２２番</t>
  </si>
  <si>
    <t>兵庫県加古川市尾上町池田８５０-２３</t>
  </si>
  <si>
    <t>兵庫県神戸市北区鹿の子台北町８丁目３番</t>
  </si>
  <si>
    <t>兵庫県西脇市寺内５１５番６</t>
  </si>
  <si>
    <t>兵庫県姫路市市之郷町３丁目４８番地２</t>
  </si>
  <si>
    <t>兵庫県神崎郡神河町福本８５１-１９</t>
  </si>
  <si>
    <t>兵庫県赤穂郡上郡町竹万２３７３番地</t>
  </si>
  <si>
    <t>兵庫県三木市大村１丁目８-１５</t>
  </si>
  <si>
    <t>兵庫県赤穂市中広１２３９番地</t>
  </si>
  <si>
    <t>兵庫県神戸市西区大沢１丁目５番地の２</t>
  </si>
  <si>
    <t>兵庫県豊岡市下宮１５０-１</t>
  </si>
  <si>
    <t>兵庫県川辺郡猪名川町つつじが丘2丁目33番2号</t>
  </si>
  <si>
    <t>ﾔﾏｻｷﾃﾝ</t>
  </si>
  <si>
    <t>671-2554</t>
  </si>
  <si>
    <t>兵庫県宍粟市山崎町御名９３番地１</t>
  </si>
  <si>
    <t>0790-64-2011</t>
  </si>
  <si>
    <t>0790-64-2010</t>
  </si>
  <si>
    <t>和歌山県橋本市高野口町大野１５８</t>
  </si>
  <si>
    <t>和歌山県有田市糸我町中番1番地</t>
  </si>
  <si>
    <t>和歌山県伊都郡かつらぎ町萩原６０１番地</t>
  </si>
  <si>
    <t>和歌山北インター店</t>
  </si>
  <si>
    <t>ﾜｶﾔﾏｷﾀｲﾝﾀｰﾃﾝ</t>
  </si>
  <si>
    <t>640-8481</t>
  </si>
  <si>
    <t>和歌山県和歌山市直川４０１番地１</t>
  </si>
  <si>
    <t>073-464-5221</t>
  </si>
  <si>
    <t>073-464-5220</t>
  </si>
  <si>
    <t>大阪市東淀川区南江口1丁目３-７７</t>
  </si>
  <si>
    <t>大阪府河内長野市上原西町２０-３１</t>
  </si>
  <si>
    <t>大阪府泉大津市春日町３-２１</t>
  </si>
  <si>
    <t>大阪府阪南市桃の木台２丁目２番地２</t>
  </si>
  <si>
    <t>奈良県宇陀市榛原長峯６４８番地</t>
  </si>
  <si>
    <t>奈良県御所市蛇穴４５３</t>
  </si>
  <si>
    <t>滋賀県彦根市高宮町１５２５-１</t>
  </si>
  <si>
    <t>滋賀県大津市玉野浦３-１</t>
  </si>
  <si>
    <t>滋賀県高島市新旭町旭３４６番１</t>
  </si>
  <si>
    <t>滋賀県長浜市高月町柏原５０３－１</t>
  </si>
  <si>
    <t>滋賀県甲賀市土山町頓宮１８１－１</t>
  </si>
  <si>
    <t>滋賀県湖南市岩根４５６０－１</t>
  </si>
  <si>
    <t>529-1601</t>
  </si>
  <si>
    <t>滋賀県蒲生郡日野町大字松尾８９５番１</t>
  </si>
  <si>
    <t>0748-52-9561</t>
  </si>
  <si>
    <t>0748-52-9560</t>
  </si>
  <si>
    <t>ﾏｲﾊﾞﾗﾃﾝ</t>
  </si>
  <si>
    <t>521-0236</t>
  </si>
  <si>
    <t>滋賀県米原市間田634番地</t>
  </si>
  <si>
    <t>0749-55-8191</t>
  </si>
  <si>
    <t>0749-55-8190</t>
  </si>
  <si>
    <t>佐賀県小城市牛津町柿樋瀬２８２－１</t>
  </si>
  <si>
    <t>佐賀県三養基郡みやき町大字簑原７８７</t>
  </si>
  <si>
    <t>佐賀県佐賀市川副町大字南里７２３-１</t>
  </si>
  <si>
    <t>佐賀県鳥栖市真木町１７１２番１</t>
  </si>
  <si>
    <t>佐賀県西松浦郡有田町南原丁４番地１</t>
  </si>
  <si>
    <t>佐賀県小城市小城町畑田２４６２－１</t>
  </si>
  <si>
    <t>佐賀県多久市北多久町大字多久原1639－3</t>
  </si>
  <si>
    <t>大分県中津市大字大新田１８３-１</t>
  </si>
  <si>
    <t>大分県佐伯市西浜１番２５号</t>
  </si>
  <si>
    <t>大分県杵築市大字日野１６９０番地１</t>
  </si>
  <si>
    <t>大分県別府市大字鶴見７６９-１</t>
  </si>
  <si>
    <t>大分県玖珠郡玖珠町大字山田１４７</t>
  </si>
  <si>
    <t>大分県大分市大字三佐２９００-１</t>
  </si>
  <si>
    <t>大分県大分市公園通り西２丁目３-２</t>
  </si>
  <si>
    <t>大分県津久見市千怒７５番２１</t>
  </si>
  <si>
    <t>大分県大分市大字生石１４５－４３</t>
  </si>
  <si>
    <t>宮崎県宮崎市宮崎駅東３丁目８番地１２（ＨＩ館）</t>
  </si>
  <si>
    <t>宮崎県日南市吾田東7丁目9番5号</t>
  </si>
  <si>
    <t>宮崎県宮崎市佐土原町下田島９９２２</t>
  </si>
  <si>
    <t>宮崎県児湯郡高鍋町大字北高鍋４７１９番</t>
  </si>
  <si>
    <t>宮崎県東諸県郡綾町入野３３６１番地</t>
  </si>
  <si>
    <t>宮崎県児湯郡都農町川北三日月原1088-4</t>
  </si>
  <si>
    <t>宮崎県宮崎市清武町正手２丁目３７番</t>
  </si>
  <si>
    <t>宮崎県延岡市石田町4446-3</t>
  </si>
  <si>
    <t>宮崎県西都市大字岡富８６２</t>
  </si>
  <si>
    <t>山口県山口市朝田７８０－３　（ＨＩ館）</t>
  </si>
  <si>
    <t>山口県山陽小野田市日の出２丁目１０番１０号</t>
  </si>
  <si>
    <t>山口県山口市小郡花園町７－５</t>
  </si>
  <si>
    <t>山口県岩国市玖珂町６６７７－１</t>
  </si>
  <si>
    <t>山口県山口市阿知須５８７０－８</t>
  </si>
  <si>
    <t>山口県山口市阿東徳佐中３７０８-１</t>
  </si>
  <si>
    <t>山口県周南市大字夜市２９３６-１</t>
  </si>
  <si>
    <t>山口県美祢市大嶺町東分３７８番地１</t>
  </si>
  <si>
    <t>山口県熊毛郡田布施町中央南２２-４</t>
  </si>
  <si>
    <t>山口県下関市豊田町大字矢田５３７-１</t>
  </si>
  <si>
    <t>山口県柳井市大字柳井１７４０-１</t>
  </si>
  <si>
    <t>山口県下関市長府外浦町２番１号</t>
  </si>
  <si>
    <t>山口県下松市大字山田１５６-１</t>
  </si>
  <si>
    <t>山口県美祢市美東町大字大田５３５２-１</t>
  </si>
  <si>
    <t>山口県長門市油谷伊上１６９２-２</t>
  </si>
  <si>
    <t>759-6301</t>
  </si>
  <si>
    <t>山口県下関市豊浦町大字川棚６３６１-１</t>
  </si>
  <si>
    <t>山口県熊毛郡平生町大字平生町字西浜５５８－１</t>
  </si>
  <si>
    <t>745-0801</t>
  </si>
  <si>
    <t>山口県周南市大字久米１５０３-１</t>
  </si>
  <si>
    <t>0834-39-3051</t>
  </si>
  <si>
    <t>0834-39-3050</t>
  </si>
  <si>
    <t>岡山県岡山市中区下４１６番地の５</t>
  </si>
  <si>
    <t>岡山県倉敷市児島宇野津２０３０-１３</t>
  </si>
  <si>
    <t>岡山県岡山市南区大福３３２番地</t>
  </si>
  <si>
    <t>岡山県和気郡和気町本１０４-１</t>
  </si>
  <si>
    <t>岡山県小田郡矢掛町本堀１０９０-１</t>
  </si>
  <si>
    <t>岡山県浅口市鴨方町益坂１３１９</t>
  </si>
  <si>
    <t>岡山県総社市井尻野３６４-１</t>
  </si>
  <si>
    <t>岡山県美作市豊国原１１３７</t>
  </si>
  <si>
    <t>岡山県高梁市落合町阿部８００</t>
  </si>
  <si>
    <t>岡山県赤磐市町苅田１０２５－１</t>
  </si>
  <si>
    <t>岡山県赤磐市福田７７８-１</t>
  </si>
  <si>
    <t>岡山県井原市笹賀町７５６－１</t>
  </si>
  <si>
    <t>岡山県瀬戸内市邑久町豊原１２６－１</t>
  </si>
  <si>
    <t>岡山店</t>
  </si>
  <si>
    <t>ｵｶﾔﾏﾃﾝ</t>
  </si>
  <si>
    <t>702-8041</t>
  </si>
  <si>
    <t>岡山県岡山市南区富浜町2番1号</t>
  </si>
  <si>
    <t>086-261-0141</t>
  </si>
  <si>
    <t>086-261-0140</t>
  </si>
  <si>
    <t>島根県出雲市平田町１６１０番地</t>
  </si>
  <si>
    <t>島根県浜田市周布町ロ２９３-１</t>
  </si>
  <si>
    <t>島根県出雲市江田町４７-４</t>
  </si>
  <si>
    <t>島根県松江市竹矢町１８５０-１５</t>
  </si>
  <si>
    <t>島根県江津市敬川町１１９１番地１</t>
  </si>
  <si>
    <t>島根県大田市長久町長久イ２１２－２</t>
  </si>
  <si>
    <t>島根県雲南市木次町下熊谷１５３１－１</t>
  </si>
  <si>
    <t>島根県出雲市湖陵町差海４０９番１</t>
  </si>
  <si>
    <t>島根県益田市久城町30－1</t>
  </si>
  <si>
    <t>広島県江田島市江田島町江南１丁目９番２１号</t>
  </si>
  <si>
    <t>広島県福山市柳津町３丁目１番１４号</t>
  </si>
  <si>
    <t>広島県東広島市西条下見７丁目４番１号</t>
  </si>
  <si>
    <t>広島県廿日市市阿品台３丁目２-１</t>
  </si>
  <si>
    <t>広島県福山市新市町戸手６６２番地</t>
  </si>
  <si>
    <t>広島県広島市安佐南区大塚西３丁目２番３３号</t>
  </si>
  <si>
    <t>広島県三原市下北方１丁目１４番１０号</t>
  </si>
  <si>
    <t>広島県世羅郡世羅町大字寺町１５３６番１</t>
  </si>
  <si>
    <t>広島県三次市東酒屋町３８０番地１</t>
  </si>
  <si>
    <t>広島県呉市安浦町内海北２丁目３番３８号</t>
  </si>
  <si>
    <t>広島県安芸郡熊野町萩原８丁目９番１号</t>
  </si>
  <si>
    <t>広島県福山市駅家町上山守４５０-１</t>
  </si>
  <si>
    <t>広島県広島市佐伯区五日市港４丁目１番１２号</t>
  </si>
  <si>
    <t>広島県庄原市板橋町２７８番１</t>
  </si>
  <si>
    <t>広島県呉市音戸町畑３丁目20番22号</t>
  </si>
  <si>
    <t>広島県東広島市黒瀬春日野１丁目１３２番４</t>
  </si>
  <si>
    <t>広島県安芸高田市甲田町高田原１２００</t>
  </si>
  <si>
    <t>広島県安芸郡坂町字亀石山２１１２０</t>
  </si>
  <si>
    <t>広島県広島市安佐北区白木町市川150－1</t>
  </si>
  <si>
    <t>広島県安芸高田市吉田町常友６１８－１</t>
  </si>
  <si>
    <t>徳島県鳴門市里浦町粟津字西開168-1</t>
  </si>
  <si>
    <t>熊本県熊本市東区錦ケ丘３０－１０</t>
  </si>
  <si>
    <t>熊本県熊本市北区大窪１丁目１番１７号</t>
  </si>
  <si>
    <t>熊本県熊本市中央区黒髪１丁目１３－１</t>
  </si>
  <si>
    <t>熊本県山鹿市鹿本町御宇田６４０－１</t>
  </si>
  <si>
    <t>熊本県熊本市東区江津２丁目３７番４７号</t>
  </si>
  <si>
    <t>熊本県八代市海士江町２７５３番２</t>
  </si>
  <si>
    <t>熊本県熊本市南区城南町大字東阿高１４８５番地</t>
  </si>
  <si>
    <t>熊本県天草市北原町５番４２号</t>
  </si>
  <si>
    <t>熊本県玉名市築地７８９番地１</t>
  </si>
  <si>
    <t>熊本県阿蘇郡高森町大字高森２２１０</t>
  </si>
  <si>
    <t>熊本県阿蘇郡小国町大字宮原１１８４-２</t>
  </si>
  <si>
    <t>熊本県菊池市木柑子１７１０番１</t>
  </si>
  <si>
    <t>熊本県阿蘇市一の宮町宮地４７４１-１</t>
  </si>
  <si>
    <t>熊本県球磨郡あさぎり町上西１３５</t>
  </si>
  <si>
    <t>熊本県合志市須屋１９３６番地１</t>
  </si>
  <si>
    <t>熊本県熊本市南区富合町清藤６８番地</t>
  </si>
  <si>
    <t>熊本県宇城市小川町住吉261-1</t>
  </si>
  <si>
    <t>熊本県玉名郡長洲町清源寺字塘下405番地</t>
  </si>
  <si>
    <t>熊本県下益城郡美里町馬場９１２番</t>
  </si>
  <si>
    <t>熊本県荒尾市本井手１６２０番３１</t>
  </si>
  <si>
    <t>熊本県山鹿市石７３３-１</t>
  </si>
  <si>
    <t>熊本県阿蘇郡西原村布田１０３５－４</t>
  </si>
  <si>
    <t>熊本県葦北郡津奈木町岩城８５番地１</t>
  </si>
  <si>
    <t>熊本県上天草市大矢野町上１２７２－１</t>
  </si>
  <si>
    <t>869-5442</t>
  </si>
  <si>
    <t>熊本県葦北郡芦北町花岡３０９－２３</t>
  </si>
  <si>
    <t>0966-68-3701</t>
  </si>
  <si>
    <t>0966-68-3700</t>
  </si>
  <si>
    <t>福岡県大牟田市大字手鎌１９０３番地</t>
  </si>
  <si>
    <t>宗像店</t>
  </si>
  <si>
    <t>ﾑﾅｶﾀﾃﾝ</t>
  </si>
  <si>
    <t>811-4185</t>
  </si>
  <si>
    <t>福岡県宗像市赤間駅前２丁目１番１０号</t>
  </si>
  <si>
    <t>0940-32-1358</t>
  </si>
  <si>
    <t>0940-34-1055</t>
  </si>
  <si>
    <t>福岡県柳川市三橋町枝光４０３番</t>
  </si>
  <si>
    <t>福岡県朝倉市堤１７３６－５</t>
  </si>
  <si>
    <t>福岡県福岡市博多区東雲町三丁目3-10</t>
  </si>
  <si>
    <t>福岡県筑紫郡那珂川町片縄北４丁目１７-１</t>
  </si>
  <si>
    <t>福岡県糸島市神在７７番１</t>
  </si>
  <si>
    <t>福岡県うきは市吉井町３１４ー１</t>
  </si>
  <si>
    <t>福岡県飯塚市椿８９ー９</t>
  </si>
  <si>
    <t>福岡県粕屋郡志免町志免３丁目９番２０号</t>
  </si>
  <si>
    <t>福岡県飯塚市佐与２３６２</t>
  </si>
  <si>
    <t>福岡県朝倉市甘木４２７-１</t>
  </si>
  <si>
    <t>福岡県宮若市本城４３８番１</t>
  </si>
  <si>
    <t>福岡県田川郡川崎町大字池尻１３１３番地</t>
  </si>
  <si>
    <t>福岡県糸島市二丈上深江９７７番１</t>
  </si>
  <si>
    <t>福岡県糟屋郡久山町大字山田１１２２-１</t>
  </si>
  <si>
    <t>福岡県宗像市大字光岡字七田５５９-１</t>
  </si>
  <si>
    <t>福岡県筑紫野市大字筑紫６８３-２</t>
  </si>
  <si>
    <t>北九州市小倉北区上富野２丁目１２番１号</t>
  </si>
  <si>
    <t>福岡県三井郡大刀洗町大字鵜木７２９-１</t>
  </si>
  <si>
    <t>福岡県粕屋郡新宮町大字原上１５９１-１</t>
  </si>
  <si>
    <t>北九州市若松区花野路１丁目１０番１号</t>
  </si>
  <si>
    <t>福岡市博多区大井２丁目３番７２号</t>
  </si>
  <si>
    <t>福岡県久留米市荒木町白口９０番地</t>
  </si>
  <si>
    <t>福岡県福岡市博多区相生町１-１-１</t>
  </si>
  <si>
    <t>北九州市若松区ひびきの南１丁目1番12号</t>
  </si>
  <si>
    <t>北九州市戸畑区東鞘ヶ谷町２番１号</t>
  </si>
  <si>
    <t>北九州市八幡東区東田１丁目２番２０号</t>
  </si>
  <si>
    <t>北九州市八幡西区中の原２丁目１番１号</t>
  </si>
  <si>
    <t>福岡県筑紫郡那珂川町恵子１丁目４５番地</t>
  </si>
  <si>
    <t>福岡県粕屋郡志免町大字志免６９８番地</t>
  </si>
  <si>
    <t>北九州市八幡西区星ヶ丘２丁目１番２号</t>
  </si>
  <si>
    <t>北九州市小倉南区上葛原１丁目１６番１号</t>
  </si>
  <si>
    <t>福岡県京都郡みやこ町大字田中３８８番地</t>
  </si>
  <si>
    <t>福岡県八女郡広川町新代２４３３番１</t>
  </si>
  <si>
    <t>北九州市小倉北区末広２丁目１番５号</t>
  </si>
  <si>
    <t>福岡県みやま市瀬高町下庄７２０-４</t>
  </si>
  <si>
    <t>福岡県朝倉市杷木久喜宮１９９９-４１</t>
  </si>
  <si>
    <t>福岡県嘉麻市平１５６１-１</t>
  </si>
  <si>
    <t>福岡県春日市星見ヶ丘４丁目１６番地</t>
  </si>
  <si>
    <t>福岡県遠賀郡水巻町頃末南２丁目１３番１号</t>
  </si>
  <si>
    <t>福岡県築上郡築上町大字宇留津76-1</t>
  </si>
  <si>
    <t>福岡県飯塚市有安１０２５-３５</t>
  </si>
  <si>
    <t>福岡県朝倉郡筑前町東小田1515-1</t>
  </si>
  <si>
    <t>福岡県鞍手郡鞍手町大字中山２１０３-５</t>
  </si>
  <si>
    <t>福岡県八女市黒木町今２１２番</t>
  </si>
  <si>
    <t>福岡県豊前市大字今市１２０－１</t>
  </si>
  <si>
    <t>福岡県久留米市城島町江上本１４７４番地１</t>
  </si>
  <si>
    <t>福岡県遠賀郡岡垣町大字高倉６６９番１</t>
  </si>
  <si>
    <t>福岡県福岡市西区元浜１丁目３６－１</t>
  </si>
  <si>
    <t>ｳｷﾊﾃﾝ</t>
  </si>
  <si>
    <t>839-1301</t>
  </si>
  <si>
    <t>福岡県うきは市吉井町桜井２４４番地</t>
  </si>
  <si>
    <t>0943-75-8071</t>
  </si>
  <si>
    <t>0943-75-8070</t>
  </si>
  <si>
    <t>長崎県諫早市多良見町囲４６８番地</t>
  </si>
  <si>
    <t>長崎県島原市城内３丁目１６２０番地</t>
  </si>
  <si>
    <t>長崎県平戸市田平町里免１１４</t>
  </si>
  <si>
    <t>長崎県雲仙市国見町神代己１６６番地</t>
  </si>
  <si>
    <t>長崎県諌早市宗方町２０５番地１</t>
  </si>
  <si>
    <t>長崎県大村市杭出津２丁目７４４-１</t>
  </si>
  <si>
    <t>長崎県長崎市竿浦町８９０-１</t>
  </si>
  <si>
    <t>長崎県長崎市西海町１９７０番１</t>
  </si>
  <si>
    <t>長崎県平戸市山中町７３６</t>
  </si>
  <si>
    <t>長崎県東彼杵郡波佐見町田ノ頭郷３７２-２</t>
  </si>
  <si>
    <t>長崎県長崎市戸石町２８０番地１号</t>
  </si>
  <si>
    <t>長崎県佐世保市江迎町埋立１番地６</t>
  </si>
  <si>
    <t>長崎県長崎市小浦町７１４-８</t>
  </si>
  <si>
    <t>長崎県佐世保市干尽町４番地５</t>
  </si>
  <si>
    <t>長崎県西海市西彼町小迎郷１０３２番２</t>
  </si>
  <si>
    <t>長崎県雲仙市愛野町乙４２９番地１</t>
  </si>
  <si>
    <t>長崎県南島原市口之津町甲２７６４</t>
  </si>
  <si>
    <t>長崎県長崎市多以良町２１６０番１</t>
  </si>
  <si>
    <t>長崎県西彼杵郡時津町日並郷２１９５番５３</t>
  </si>
  <si>
    <t>長崎県諫早市高来町下与６３０番９</t>
  </si>
  <si>
    <t>ｷﾀｵｵﾑﾗﾃﾝ</t>
  </si>
  <si>
    <t>856-0806</t>
  </si>
  <si>
    <t>長崎県大村市富の原２丁目６６３番</t>
  </si>
  <si>
    <t>0957-27-4371</t>
  </si>
  <si>
    <t>0957-27-4370</t>
  </si>
  <si>
    <t>香川県三豊市豊中町比地大６４８</t>
  </si>
  <si>
    <t>香川県善通寺市原田町１５８７</t>
  </si>
  <si>
    <t>769-2321</t>
  </si>
  <si>
    <t>香川県さぬき市寒川町石田東甲７８１－１</t>
  </si>
  <si>
    <t>0879-29-3051</t>
  </si>
  <si>
    <t>0879-29-3050</t>
  </si>
  <si>
    <t>鳥取県鳥取市晩稲１４０</t>
  </si>
  <si>
    <t>鳥取県米子市淀江町佐陀９７７番地</t>
  </si>
  <si>
    <t>鳥取県倉吉市河北町１２８－１</t>
  </si>
  <si>
    <t>ﾅﾝﾌﾞﾃﾝ</t>
  </si>
  <si>
    <t>683-0322</t>
  </si>
  <si>
    <t>鳥取県西伯郡南部町阿賀２２９-１</t>
  </si>
  <si>
    <t>0859-39-6331</t>
  </si>
  <si>
    <t>0859-39-6330</t>
  </si>
  <si>
    <t>千葉県四街道市もねの里２丁目３８番６０号</t>
  </si>
  <si>
    <t>290-0170</t>
  </si>
  <si>
    <t>千葉県市原市うるいど南５丁目１番地２</t>
  </si>
  <si>
    <t>0436-76-8594</t>
  </si>
  <si>
    <t>0436-76-8593</t>
  </si>
  <si>
    <t>茂原長生店</t>
  </si>
  <si>
    <t>ﾓﾊﾞﾗﾁｮｳｾｲﾃﾝ</t>
  </si>
  <si>
    <t>299-4333</t>
  </si>
  <si>
    <t>千葉県長生郡長生村七井土１５０６－１</t>
  </si>
  <si>
    <t>0475-32-7901</t>
  </si>
  <si>
    <t>0475-32-7900</t>
  </si>
  <si>
    <t>930-0353</t>
  </si>
  <si>
    <t>富山</t>
  </si>
  <si>
    <t>富山県中新川郡上市町法音寺１</t>
  </si>
  <si>
    <t>076-473-0941</t>
  </si>
  <si>
    <t>076-473-0940</t>
  </si>
  <si>
    <t>山梨県甲州市塩山熊野５０７－１</t>
  </si>
  <si>
    <t>岐阜県養老郡養老町瑞穂４０７－１</t>
  </si>
  <si>
    <t>愛知県犬山市中山町２丁目１５番地</t>
  </si>
  <si>
    <t>愛知県瀬戸市本郷町３２２</t>
  </si>
  <si>
    <t>愛知県名古屋市守山区青山台628番5</t>
  </si>
  <si>
    <t>田沼店</t>
  </si>
  <si>
    <t>ﾀﾇﾏﾃﾝ</t>
  </si>
  <si>
    <t>327-0317</t>
  </si>
  <si>
    <t>栃木</t>
  </si>
  <si>
    <t>栃木県佐野市田沼町２６７-１</t>
  </si>
  <si>
    <t>0283-61-1381</t>
  </si>
  <si>
    <t>0283-61-1380</t>
  </si>
  <si>
    <t>石川県白山市相木町　松任駅北相木地区土地区画整理事業施行地区26</t>
  </si>
  <si>
    <t>石川県かほく市森ヨ８７-１</t>
  </si>
  <si>
    <t>茨城県日立市日高町４丁目２番１号</t>
  </si>
  <si>
    <t>潮来店</t>
  </si>
  <si>
    <t>ｲﾀｺﾃﾝ</t>
  </si>
  <si>
    <t>311-2424</t>
  </si>
  <si>
    <t>茨城県潮来市潮来６０６１番地</t>
  </si>
  <si>
    <t>0299-80-1481</t>
  </si>
  <si>
    <t>0922-80-1480</t>
  </si>
  <si>
    <t>長野県茅野市宮川１２０２-１</t>
  </si>
  <si>
    <t>信州中野店</t>
  </si>
  <si>
    <t>静岡県掛川市細谷７９５-１</t>
  </si>
  <si>
    <t>静岡県湖西市鷲津３０８５番地</t>
  </si>
  <si>
    <t>静岡県浜松市東区中郡町１１９０</t>
  </si>
  <si>
    <t>静岡県掛川市西大渕３３５９</t>
  </si>
  <si>
    <t>静岡県静岡市駿河区北丸子１丁目１番１０号</t>
  </si>
  <si>
    <t>静岡県御前崎市池新田５８３２-１</t>
  </si>
  <si>
    <t>静岡県富士市津田１８６－１</t>
  </si>
  <si>
    <t>静岡県富士宮市万野原新田３３７７－１</t>
  </si>
  <si>
    <t>静岡県島田市阪本１４６６</t>
  </si>
  <si>
    <t>砂バラス</t>
  </si>
  <si>
    <t>一輪車</t>
  </si>
  <si>
    <t>二次製品</t>
  </si>
  <si>
    <t>KI-150</t>
  </si>
  <si>
    <t>KI-230</t>
  </si>
  <si>
    <t>KF-061212</t>
  </si>
  <si>
    <t>TK-2420</t>
  </si>
  <si>
    <t>TK-2425</t>
  </si>
  <si>
    <t>TD-270</t>
  </si>
  <si>
    <t>生セメント</t>
  </si>
  <si>
    <t>培養土</t>
  </si>
  <si>
    <t>インストアコード</t>
    <phoneticPr fontId="8"/>
  </si>
  <si>
    <t>PT入数</t>
    <rPh sb="2" eb="3">
      <t>イリ</t>
    </rPh>
    <rPh sb="3" eb="4">
      <t>スウ</t>
    </rPh>
    <phoneticPr fontId="8"/>
  </si>
  <si>
    <t>形態</t>
    <rPh sb="0" eb="2">
      <t>ケイタイ</t>
    </rPh>
    <phoneticPr fontId="8"/>
  </si>
  <si>
    <t>若松店</t>
  </si>
  <si>
    <t>ﾜｶﾏﾂﾃﾝ</t>
  </si>
  <si>
    <t>808-0066</t>
  </si>
  <si>
    <t>福岡県北九州市若松区くきのうみ中央７番１号</t>
  </si>
  <si>
    <t>093-752-5311</t>
  </si>
  <si>
    <t>093-752-5310</t>
  </si>
  <si>
    <t>税抜単価</t>
    <rPh sb="0" eb="1">
      <t>ゼイ</t>
    </rPh>
    <rPh sb="1" eb="2">
      <t>ヌ</t>
    </rPh>
    <rPh sb="2" eb="4">
      <t>タンカ</t>
    </rPh>
    <phoneticPr fontId="8"/>
  </si>
  <si>
    <t>フレスポ大町店</t>
  </si>
  <si>
    <t>ツーワンスタイル旗崎店</t>
  </si>
  <si>
    <t>福岡県久留米市御井旗崎５丁目７番３０号</t>
  </si>
  <si>
    <t>0942-41-1241</t>
  </si>
  <si>
    <t>0942-41-1240</t>
  </si>
  <si>
    <t>北鹿嶋店</t>
  </si>
  <si>
    <t>311-2215</t>
  </si>
  <si>
    <t>茨城県鹿嶋市大字和７８４-１</t>
  </si>
  <si>
    <t>0299-90-9321</t>
  </si>
  <si>
    <t>0299-90-9320</t>
  </si>
  <si>
    <t>398-0002</t>
  </si>
  <si>
    <t>長野県大町市大町３５００番地７</t>
  </si>
  <si>
    <t xml:space="preserve"> 0261-21-3611</t>
  </si>
  <si>
    <t xml:space="preserve"> 0261-21-3610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</si>
</sst>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¥&quot;#,##0;&quot;¥&quot;\-#,##0"/>
    <numFmt numFmtId="176" formatCode="000"/>
    <numFmt numFmtId="177" formatCode="0;[Red]0"/>
    <numFmt numFmtId="178" formatCode="0000000000000"/>
  </numFmts>
  <fonts count="17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5" fillId="0" borderId="0"/>
  </cellStyleXfs>
  <cellXfs count="118">
    <xf numFmtId="0" fontId="0" fillId="0" borderId="0" xfId="0"/>
    <xf numFmtId="0" fontId="7" fillId="0" borderId="0" xfId="1">
      <alignment vertical="center"/>
    </xf>
    <xf numFmtId="0" fontId="0" fillId="0" borderId="1" xfId="0" applyBorder="1" applyAlignment="1">
      <alignment horizontal="center"/>
    </xf>
    <xf numFmtId="5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12" fillId="0" borderId="0" xfId="0" applyFont="1" applyBorder="1" applyAlignment="1"/>
    <xf numFmtId="176" fontId="9" fillId="0" borderId="2" xfId="0" applyNumberFormat="1" applyFont="1" applyBorder="1" applyAlignment="1">
      <alignment horizontal="center" vertical="center"/>
    </xf>
    <xf numFmtId="177" fontId="9" fillId="0" borderId="2" xfId="0" applyNumberFormat="1" applyFont="1" applyBorder="1" applyAlignment="1">
      <alignment horizontal="center" vertical="center"/>
    </xf>
    <xf numFmtId="176" fontId="9" fillId="0" borderId="3" xfId="0" applyNumberFormat="1" applyFont="1" applyBorder="1" applyAlignment="1">
      <alignment horizontal="center" vertical="center"/>
    </xf>
    <xf numFmtId="177" fontId="9" fillId="0" borderId="3" xfId="0" applyNumberFormat="1" applyFont="1" applyBorder="1" applyAlignment="1">
      <alignment vertical="center"/>
    </xf>
    <xf numFmtId="176" fontId="9" fillId="0" borderId="7" xfId="0" applyNumberFormat="1" applyFont="1" applyBorder="1" applyAlignment="1">
      <alignment horizontal="center" vertical="center"/>
    </xf>
    <xf numFmtId="177" fontId="9" fillId="0" borderId="4" xfId="0" applyNumberFormat="1" applyFont="1" applyBorder="1" applyAlignment="1">
      <alignment vertical="center" shrinkToFit="1"/>
    </xf>
    <xf numFmtId="176" fontId="9" fillId="0" borderId="4" xfId="0" applyNumberFormat="1" applyFont="1" applyBorder="1" applyAlignment="1">
      <alignment horizontal="center" vertical="center"/>
    </xf>
    <xf numFmtId="177" fontId="9" fillId="0" borderId="4" xfId="0" applyNumberFormat="1" applyFont="1" applyBorder="1" applyAlignment="1">
      <alignment vertical="center"/>
    </xf>
    <xf numFmtId="176" fontId="9" fillId="0" borderId="9" xfId="0" applyNumberFormat="1" applyFont="1" applyBorder="1" applyAlignment="1">
      <alignment horizontal="center" vertical="center"/>
    </xf>
    <xf numFmtId="176" fontId="9" fillId="0" borderId="6" xfId="0" applyNumberFormat="1" applyFont="1" applyBorder="1" applyAlignment="1">
      <alignment horizontal="center" vertical="center"/>
    </xf>
    <xf numFmtId="177" fontId="9" fillId="0" borderId="6" xfId="0" applyNumberFormat="1" applyFont="1" applyBorder="1" applyAlignment="1">
      <alignment vertical="center"/>
    </xf>
    <xf numFmtId="177" fontId="9" fillId="0" borderId="7" xfId="0" applyNumberFormat="1" applyFont="1" applyBorder="1" applyAlignment="1">
      <alignment vertical="center"/>
    </xf>
    <xf numFmtId="176" fontId="9" fillId="0" borderId="8" xfId="0" applyNumberFormat="1" applyFont="1" applyBorder="1" applyAlignment="1">
      <alignment horizontal="center" vertical="center"/>
    </xf>
    <xf numFmtId="177" fontId="9" fillId="0" borderId="8" xfId="0" applyNumberFormat="1" applyFont="1" applyBorder="1" applyAlignment="1">
      <alignment vertical="center"/>
    </xf>
    <xf numFmtId="177" fontId="9" fillId="0" borderId="9" xfId="0" applyNumberFormat="1" applyFont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176" fontId="9" fillId="0" borderId="10" xfId="0" applyNumberFormat="1" applyFont="1" applyBorder="1" applyAlignment="1">
      <alignment horizontal="center" vertical="center"/>
    </xf>
    <xf numFmtId="176" fontId="9" fillId="0" borderId="11" xfId="0" applyNumberFormat="1" applyFont="1" applyBorder="1" applyAlignment="1">
      <alignment horizontal="center" vertical="center"/>
    </xf>
    <xf numFmtId="177" fontId="9" fillId="0" borderId="10" xfId="0" applyNumberFormat="1" applyFont="1" applyBorder="1" applyAlignment="1">
      <alignment vertical="center"/>
    </xf>
    <xf numFmtId="176" fontId="9" fillId="0" borderId="4" xfId="0" applyNumberFormat="1" applyFont="1" applyFill="1" applyBorder="1" applyAlignment="1">
      <alignment horizontal="center" vertical="center"/>
    </xf>
    <xf numFmtId="177" fontId="9" fillId="0" borderId="4" xfId="0" applyNumberFormat="1" applyFont="1" applyFill="1" applyBorder="1" applyAlignment="1">
      <alignment vertical="center"/>
    </xf>
    <xf numFmtId="177" fontId="11" fillId="0" borderId="4" xfId="0" applyNumberFormat="1" applyFont="1" applyBorder="1" applyAlignment="1">
      <alignment vertical="center"/>
    </xf>
    <xf numFmtId="176" fontId="9" fillId="0" borderId="1" xfId="0" applyNumberFormat="1" applyFont="1" applyBorder="1" applyAlignment="1">
      <alignment horizontal="center" vertical="center"/>
    </xf>
    <xf numFmtId="177" fontId="0" fillId="0" borderId="1" xfId="0" applyNumberFormat="1" applyFont="1" applyBorder="1" applyAlignment="1">
      <alignment vertical="center"/>
    </xf>
    <xf numFmtId="176" fontId="9" fillId="0" borderId="12" xfId="0" applyNumberFormat="1" applyFont="1" applyBorder="1" applyAlignment="1">
      <alignment horizontal="center" vertical="center"/>
    </xf>
    <xf numFmtId="177" fontId="9" fillId="0" borderId="13" xfId="0" applyNumberFormat="1" applyFont="1" applyBorder="1" applyAlignment="1">
      <alignment vertical="center"/>
    </xf>
    <xf numFmtId="0" fontId="9" fillId="0" borderId="2" xfId="0" applyNumberFormat="1" applyFont="1" applyBorder="1" applyAlignment="1">
      <alignment horizontal="center" vertical="center"/>
    </xf>
    <xf numFmtId="177" fontId="9" fillId="0" borderId="3" xfId="0" applyNumberFormat="1" applyFont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177" fontId="9" fillId="0" borderId="4" xfId="0" applyNumberFormat="1" applyFont="1" applyBorder="1" applyAlignment="1">
      <alignment horizontal="center" vertical="center"/>
    </xf>
    <xf numFmtId="177" fontId="9" fillId="0" borderId="4" xfId="0" applyNumberFormat="1" applyFont="1" applyBorder="1" applyAlignment="1">
      <alignment horizontal="center" vertical="center" shrinkToFit="1"/>
    </xf>
    <xf numFmtId="177" fontId="9" fillId="0" borderId="7" xfId="0" applyNumberFormat="1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center" vertical="center"/>
    </xf>
    <xf numFmtId="0" fontId="9" fillId="0" borderId="4" xfId="0" applyNumberFormat="1" applyFont="1" applyBorder="1" applyAlignment="1">
      <alignment horizontal="center" vertical="center"/>
    </xf>
    <xf numFmtId="0" fontId="9" fillId="0" borderId="4" xfId="0" applyNumberFormat="1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center" vertical="center"/>
    </xf>
    <xf numFmtId="177" fontId="9" fillId="0" borderId="9" xfId="0" applyNumberFormat="1" applyFont="1" applyBorder="1" applyAlignment="1">
      <alignment horizontal="center" vertical="center"/>
    </xf>
    <xf numFmtId="0" fontId="9" fillId="0" borderId="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177" fontId="9" fillId="0" borderId="6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177" fontId="9" fillId="0" borderId="8" xfId="0" applyNumberFormat="1" applyFont="1" applyBorder="1" applyAlignment="1">
      <alignment horizontal="center" vertical="center"/>
    </xf>
    <xf numFmtId="0" fontId="9" fillId="0" borderId="8" xfId="0" applyNumberFormat="1" applyFont="1" applyBorder="1" applyAlignment="1">
      <alignment horizontal="center" vertical="center"/>
    </xf>
    <xf numFmtId="177" fontId="9" fillId="0" borderId="10" xfId="0" applyNumberFormat="1" applyFont="1" applyBorder="1" applyAlignment="1">
      <alignment horizontal="center" vertical="center"/>
    </xf>
    <xf numFmtId="0" fontId="9" fillId="0" borderId="10" xfId="0" applyNumberFormat="1" applyFont="1" applyBorder="1" applyAlignment="1">
      <alignment horizontal="center" vertical="center"/>
    </xf>
    <xf numFmtId="177" fontId="9" fillId="0" borderId="9" xfId="0" applyNumberFormat="1" applyFont="1" applyFill="1" applyBorder="1" applyAlignment="1">
      <alignment horizontal="center" vertical="center"/>
    </xf>
    <xf numFmtId="0" fontId="9" fillId="0" borderId="4" xfId="0" applyNumberFormat="1" applyFont="1" applyBorder="1" applyAlignment="1">
      <alignment horizontal="center"/>
    </xf>
    <xf numFmtId="177" fontId="9" fillId="0" borderId="1" xfId="0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177" fontId="9" fillId="0" borderId="13" xfId="0" applyNumberFormat="1" applyFont="1" applyBorder="1" applyAlignment="1">
      <alignment horizontal="center" vertical="center"/>
    </xf>
    <xf numFmtId="177" fontId="9" fillId="0" borderId="14" xfId="0" applyNumberFormat="1" applyFont="1" applyBorder="1" applyAlignment="1">
      <alignment horizontal="center" vertical="center"/>
    </xf>
    <xf numFmtId="177" fontId="9" fillId="0" borderId="15" xfId="0" applyNumberFormat="1" applyFont="1" applyBorder="1" applyAlignment="1">
      <alignment horizontal="center" vertical="center"/>
    </xf>
    <xf numFmtId="177" fontId="9" fillId="0" borderId="15" xfId="0" applyNumberFormat="1" applyFont="1" applyBorder="1" applyAlignment="1">
      <alignment vertical="center"/>
    </xf>
    <xf numFmtId="0" fontId="9" fillId="0" borderId="12" xfId="0" applyNumberFormat="1" applyFont="1" applyBorder="1" applyAlignment="1">
      <alignment horizontal="center" vertical="center"/>
    </xf>
    <xf numFmtId="14" fontId="13" fillId="0" borderId="0" xfId="0" applyNumberFormat="1" applyFont="1" applyBorder="1" applyAlignment="1"/>
    <xf numFmtId="0" fontId="7" fillId="0" borderId="0" xfId="1" applyNumberFormat="1">
      <alignment vertical="center"/>
    </xf>
    <xf numFmtId="0" fontId="0" fillId="0" borderId="1" xfId="0" applyFill="1" applyBorder="1" applyAlignment="1">
      <alignment horizontal="center"/>
    </xf>
    <xf numFmtId="177" fontId="9" fillId="0" borderId="9" xfId="0" applyNumberFormat="1" applyFont="1" applyBorder="1" applyAlignment="1">
      <alignment vertical="center" shrinkToFit="1"/>
    </xf>
    <xf numFmtId="177" fontId="9" fillId="0" borderId="9" xfId="0" applyNumberFormat="1" applyFont="1" applyFill="1" applyBorder="1" applyAlignment="1">
      <alignment vertical="center"/>
    </xf>
    <xf numFmtId="0" fontId="7" fillId="3" borderId="0" xfId="1" applyFill="1">
      <alignment vertical="center"/>
    </xf>
    <xf numFmtId="0" fontId="0" fillId="2" borderId="0" xfId="1" applyFont="1" applyFill="1">
      <alignment vertical="center"/>
    </xf>
    <xf numFmtId="0" fontId="0" fillId="0" borderId="1" xfId="0" applyBorder="1" applyAlignment="1">
      <alignment horizontal="center" wrapText="1"/>
    </xf>
    <xf numFmtId="14" fontId="0" fillId="0" borderId="1" xfId="0" applyNumberFormat="1" applyFill="1" applyBorder="1" applyAlignment="1">
      <alignment horizontal="center"/>
    </xf>
    <xf numFmtId="0" fontId="0" fillId="0" borderId="16" xfId="0" applyBorder="1" applyAlignment="1">
      <alignment horizontal="center"/>
    </xf>
    <xf numFmtId="14" fontId="14" fillId="4" borderId="1" xfId="0" applyNumberFormat="1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14" fillId="4" borderId="1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1" applyFont="1">
      <alignment vertical="center"/>
    </xf>
    <xf numFmtId="0" fontId="0" fillId="0" borderId="0" xfId="0" applyNumberFormat="1" applyAlignment="1">
      <alignment horizontal="center"/>
    </xf>
    <xf numFmtId="5" fontId="14" fillId="4" borderId="1" xfId="0" applyNumberFormat="1" applyFont="1" applyFill="1" applyBorder="1" applyAlignment="1">
      <alignment horizontal="center"/>
    </xf>
    <xf numFmtId="0" fontId="14" fillId="4" borderId="1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0" fontId="13" fillId="0" borderId="0" xfId="0" applyNumberFormat="1" applyFont="1" applyBorder="1" applyAlignment="1"/>
    <xf numFmtId="0" fontId="0" fillId="0" borderId="1" xfId="0" applyNumberFormat="1" applyFill="1" applyBorder="1" applyAlignment="1">
      <alignment horizontal="center"/>
    </xf>
    <xf numFmtId="0" fontId="0" fillId="0" borderId="0" xfId="0" applyBorder="1"/>
    <xf numFmtId="14" fontId="0" fillId="0" borderId="0" xfId="0" applyNumberFormat="1"/>
    <xf numFmtId="5" fontId="14" fillId="4" borderId="16" xfId="0" applyNumberFormat="1" applyFont="1" applyFill="1" applyBorder="1" applyAlignment="1">
      <alignment horizontal="center"/>
    </xf>
    <xf numFmtId="5" fontId="0" fillId="0" borderId="16" xfId="0" applyNumberFormat="1" applyBorder="1" applyAlignment="1">
      <alignment horizontal="center"/>
    </xf>
    <xf numFmtId="0" fontId="0" fillId="0" borderId="1" xfId="0" applyBorder="1"/>
    <xf numFmtId="0" fontId="0" fillId="3" borderId="0" xfId="0" applyFill="1" applyBorder="1" applyAlignment="1" applyProtection="1">
      <alignment horizontal="center" vertical="center"/>
      <protection locked="0"/>
    </xf>
    <xf numFmtId="0" fontId="1" fillId="0" borderId="0" xfId="6">
      <alignment vertical="center"/>
    </xf>
    <xf numFmtId="0" fontId="0" fillId="0" borderId="3" xfId="0" applyNumberFormat="1" applyBorder="1" applyAlignment="1">
      <alignment vertical="center"/>
    </xf>
    <xf numFmtId="0" fontId="0" fillId="0" borderId="4" xfId="0" applyNumberFormat="1" applyBorder="1" applyAlignment="1">
      <alignment vertical="center"/>
    </xf>
    <xf numFmtId="0" fontId="10" fillId="0" borderId="4" xfId="0" applyNumberFormat="1" applyFont="1" applyBorder="1" applyAlignment="1">
      <alignment vertical="center"/>
    </xf>
    <xf numFmtId="0" fontId="10" fillId="0" borderId="6" xfId="0" applyNumberFormat="1" applyFont="1" applyBorder="1" applyAlignment="1">
      <alignment vertical="center"/>
    </xf>
    <xf numFmtId="0" fontId="10" fillId="0" borderId="7" xfId="0" applyNumberFormat="1" applyFont="1" applyBorder="1" applyAlignment="1">
      <alignment vertical="center"/>
    </xf>
    <xf numFmtId="0" fontId="0" fillId="0" borderId="6" xfId="0" applyNumberFormat="1" applyBorder="1" applyAlignment="1">
      <alignment vertical="center"/>
    </xf>
    <xf numFmtId="0" fontId="0" fillId="0" borderId="8" xfId="0" applyNumberFormat="1" applyBorder="1" applyAlignment="1">
      <alignment vertical="center"/>
    </xf>
    <xf numFmtId="0" fontId="0" fillId="0" borderId="9" xfId="0" applyNumberFormat="1" applyBorder="1" applyAlignment="1">
      <alignment vertical="center"/>
    </xf>
    <xf numFmtId="0" fontId="10" fillId="0" borderId="9" xfId="0" applyNumberFormat="1" applyFont="1" applyBorder="1" applyAlignment="1">
      <alignment vertical="center"/>
    </xf>
    <xf numFmtId="0" fontId="0" fillId="0" borderId="4" xfId="0" applyNumberFormat="1" applyBorder="1" applyAlignment="1">
      <alignment horizontal="center" vertical="center"/>
    </xf>
    <xf numFmtId="0" fontId="10" fillId="0" borderId="3" xfId="0" applyNumberFormat="1" applyFont="1" applyBorder="1" applyAlignment="1">
      <alignment vertical="center"/>
    </xf>
    <xf numFmtId="0" fontId="10" fillId="0" borderId="10" xfId="0" applyNumberFormat="1" applyFont="1" applyBorder="1" applyAlignment="1">
      <alignment vertical="center"/>
    </xf>
    <xf numFmtId="0" fontId="0" fillId="0" borderId="4" xfId="0" applyNumberFormat="1" applyFill="1" applyBorder="1" applyAlignment="1">
      <alignment vertical="center"/>
    </xf>
    <xf numFmtId="0" fontId="10" fillId="0" borderId="8" xfId="0" applyNumberFormat="1" applyFont="1" applyBorder="1" applyAlignment="1">
      <alignment vertical="center"/>
    </xf>
    <xf numFmtId="0" fontId="10" fillId="0" borderId="4" xfId="0" applyNumberFormat="1" applyFont="1" applyBorder="1" applyAlignment="1">
      <alignment horizontal="center" vertical="center"/>
    </xf>
    <xf numFmtId="0" fontId="0" fillId="0" borderId="10" xfId="0" applyNumberFormat="1" applyBorder="1" applyAlignment="1">
      <alignment vertical="center"/>
    </xf>
    <xf numFmtId="0" fontId="10" fillId="0" borderId="1" xfId="0" applyNumberFormat="1" applyFont="1" applyBorder="1" applyAlignment="1">
      <alignment vertical="center"/>
    </xf>
    <xf numFmtId="0" fontId="10" fillId="0" borderId="14" xfId="0" applyNumberFormat="1" applyFont="1" applyBorder="1" applyAlignment="1">
      <alignment vertical="center"/>
    </xf>
    <xf numFmtId="0" fontId="1" fillId="0" borderId="0" xfId="6" applyAlignment="1">
      <alignment vertical="center"/>
    </xf>
    <xf numFmtId="0" fontId="1" fillId="0" borderId="0" xfId="6" applyNumberFormat="1" applyAlignment="1">
      <alignment vertical="center"/>
    </xf>
    <xf numFmtId="5" fontId="0" fillId="0" borderId="0" xfId="0" applyNumberFormat="1"/>
    <xf numFmtId="178" fontId="0" fillId="0" borderId="0" xfId="0" applyNumberFormat="1"/>
    <xf numFmtId="56" fontId="7" fillId="0" borderId="0" xfId="1" applyNumberFormat="1">
      <alignment vertical="center"/>
    </xf>
    <xf numFmtId="0" fontId="13" fillId="0" borderId="0" xfId="1" applyFont="1" applyAlignment="1">
      <alignment vertical="center"/>
    </xf>
    <xf numFmtId="0" fontId="0" fillId="5" borderId="0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</cellXfs>
  <cellStyles count="8">
    <cellStyle name="標準" xfId="0" builtinId="0"/>
    <cellStyle name="標準 2" xfId="1"/>
    <cellStyle name="標準 3" xfId="2"/>
    <cellStyle name="標準 3 2" xfId="6"/>
    <cellStyle name="標準 4" xfId="3"/>
    <cellStyle name="標準 5" xfId="4"/>
    <cellStyle name="標準 6" xfId="5"/>
    <cellStyle name="標準 7" xfId="7"/>
  </cellStyles>
  <dxfs count="13">
    <dxf>
      <fill>
        <patternFill>
          <bgColor rgb="FFFFFF99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 patternType="solid">
          <fgColor auto="1"/>
          <bgColor theme="3" tint="0.79998168889431442"/>
        </patternFill>
      </fill>
    </dxf>
    <dxf>
      <fill>
        <patternFill patternType="solid">
          <fgColor auto="1"/>
          <bgColor theme="3" tint="0.79998168889431442"/>
        </patternFill>
      </fill>
    </dxf>
    <dxf>
      <fill>
        <patternFill patternType="solid">
          <fgColor auto="1"/>
          <bgColor theme="3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Medium9">
    <tableStyle name="MySqlDefault" pivot="0" table="0" count="0"/>
    <tableStyle name="Noストライプ格子あり" pivot="0" count="1">
      <tableStyleElement type="wholeTable" dxfId="12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</xdr:row>
          <xdr:rowOff>19050</xdr:rowOff>
        </xdr:from>
        <xdr:to>
          <xdr:col>2</xdr:col>
          <xdr:colOff>428625</xdr:colOff>
          <xdr:row>1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受注データ取り込み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123825</xdr:colOff>
          <xdr:row>1</xdr:row>
          <xdr:rowOff>19050</xdr:rowOff>
        </xdr:from>
        <xdr:to>
          <xdr:col>14</xdr:col>
          <xdr:colOff>561975</xdr:colOff>
          <xdr:row>1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受注データ登録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</xdr:row>
          <xdr:rowOff>19050</xdr:rowOff>
        </xdr:from>
        <xdr:to>
          <xdr:col>11</xdr:col>
          <xdr:colOff>590550</xdr:colOff>
          <xdr:row>1</xdr:row>
          <xdr:rowOff>352425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57150</xdr:rowOff>
        </xdr:from>
        <xdr:to>
          <xdr:col>2</xdr:col>
          <xdr:colOff>504825</xdr:colOff>
          <xdr:row>0</xdr:row>
          <xdr:rowOff>266700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ダブリ確認内容更新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0</xdr:row>
          <xdr:rowOff>57150</xdr:rowOff>
        </xdr:from>
        <xdr:to>
          <xdr:col>13</xdr:col>
          <xdr:colOff>581025</xdr:colOff>
          <xdr:row>0</xdr:row>
          <xdr:rowOff>266700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キャンセル登録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638175</xdr:colOff>
          <xdr:row>0</xdr:row>
          <xdr:rowOff>57150</xdr:rowOff>
        </xdr:from>
        <xdr:to>
          <xdr:col>16</xdr:col>
          <xdr:colOff>76200</xdr:colOff>
          <xdr:row>0</xdr:row>
          <xdr:rowOff>266700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保留解除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361950</xdr:colOff>
          <xdr:row>0</xdr:row>
          <xdr:rowOff>57150</xdr:rowOff>
        </xdr:from>
        <xdr:to>
          <xdr:col>18</xdr:col>
          <xdr:colOff>38100</xdr:colOff>
          <xdr:row>0</xdr:row>
          <xdr:rowOff>266700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ダブり解除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485775</xdr:colOff>
          <xdr:row>1</xdr:row>
          <xdr:rowOff>47625</xdr:rowOff>
        </xdr:from>
        <xdr:to>
          <xdr:col>11</xdr:col>
          <xdr:colOff>609600</xdr:colOff>
          <xdr:row>1</xdr:row>
          <xdr:rowOff>257175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キャンセル登録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57150</xdr:rowOff>
        </xdr:from>
        <xdr:to>
          <xdr:col>8</xdr:col>
          <xdr:colOff>561975</xdr:colOff>
          <xdr:row>2</xdr:row>
          <xdr:rowOff>295275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伝票別データ検索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38100</xdr:rowOff>
        </xdr:from>
        <xdr:to>
          <xdr:col>8</xdr:col>
          <xdr:colOff>561975</xdr:colOff>
          <xdr:row>1</xdr:row>
          <xdr:rowOff>276225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店舗別データ検索（逆順）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485775</xdr:colOff>
          <xdr:row>2</xdr:row>
          <xdr:rowOff>57150</xdr:rowOff>
        </xdr:from>
        <xdr:to>
          <xdr:col>11</xdr:col>
          <xdr:colOff>609600</xdr:colOff>
          <xdr:row>2</xdr:row>
          <xdr:rowOff>266700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キャンセル解除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2</xdr:row>
          <xdr:rowOff>57150</xdr:rowOff>
        </xdr:from>
        <xdr:to>
          <xdr:col>15</xdr:col>
          <xdr:colOff>504825</xdr:colOff>
          <xdr:row>2</xdr:row>
          <xdr:rowOff>266700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伝票削除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1</xdr:row>
          <xdr:rowOff>47625</xdr:rowOff>
        </xdr:from>
        <xdr:to>
          <xdr:col>13</xdr:col>
          <xdr:colOff>209550</xdr:colOff>
          <xdr:row>1</xdr:row>
          <xdr:rowOff>257175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数量訂正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171450</xdr:colOff>
          <xdr:row>2</xdr:row>
          <xdr:rowOff>47625</xdr:rowOff>
        </xdr:from>
        <xdr:to>
          <xdr:col>13</xdr:col>
          <xdr:colOff>209550</xdr:colOff>
          <xdr:row>2</xdr:row>
          <xdr:rowOff>257175</xdr:rowOff>
        </xdr:to>
        <xdr:sp macro="" textlink="">
          <xdr:nvSpPr>
            <xdr:cNvPr id="67597" name="Button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重要度訂正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57150</xdr:rowOff>
        </xdr:from>
        <xdr:to>
          <xdr:col>16</xdr:col>
          <xdr:colOff>447675</xdr:colOff>
          <xdr:row>1</xdr:row>
          <xdr:rowOff>266700</xdr:rowOff>
        </xdr:to>
        <xdr:sp macro="" textlink="">
          <xdr:nvSpPr>
            <xdr:cNvPr id="67598" name="Button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伝票を受信した状態にリセット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857250</xdr:colOff>
          <xdr:row>2</xdr:row>
          <xdr:rowOff>57150</xdr:rowOff>
        </xdr:from>
        <xdr:to>
          <xdr:col>17</xdr:col>
          <xdr:colOff>666750</xdr:colOff>
          <xdr:row>2</xdr:row>
          <xdr:rowOff>266700</xdr:rowOff>
        </xdr:to>
        <xdr:sp macro="" textlink="">
          <xdr:nvSpPr>
            <xdr:cNvPr id="67599" name="Button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出荷・納品日訂正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200025</xdr:colOff>
          <xdr:row>2</xdr:row>
          <xdr:rowOff>57150</xdr:rowOff>
        </xdr:from>
        <xdr:to>
          <xdr:col>20</xdr:col>
          <xdr:colOff>200025</xdr:colOff>
          <xdr:row>2</xdr:row>
          <xdr:rowOff>266700</xdr:rowOff>
        </xdr:to>
        <xdr:sp macro="" textlink="">
          <xdr:nvSpPr>
            <xdr:cNvPr id="67600" name="Button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配送担当変更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57150</xdr:rowOff>
        </xdr:from>
        <xdr:to>
          <xdr:col>2</xdr:col>
          <xdr:colOff>485775</xdr:colOff>
          <xdr:row>0</xdr:row>
          <xdr:rowOff>266700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733425</xdr:colOff>
          <xdr:row>0</xdr:row>
          <xdr:rowOff>57150</xdr:rowOff>
        </xdr:from>
        <xdr:to>
          <xdr:col>14</xdr:col>
          <xdr:colOff>228600</xdr:colOff>
          <xdr:row>0</xdr:row>
          <xdr:rowOff>266700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在庫数確認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57150</xdr:rowOff>
        </xdr:from>
        <xdr:to>
          <xdr:col>1</xdr:col>
          <xdr:colOff>800100</xdr:colOff>
          <xdr:row>0</xdr:row>
          <xdr:rowOff>266700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二次製品データ読込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695325</xdr:colOff>
          <xdr:row>0</xdr:row>
          <xdr:rowOff>57150</xdr:rowOff>
        </xdr:from>
        <xdr:to>
          <xdr:col>12</xdr:col>
          <xdr:colOff>400050</xdr:colOff>
          <xdr:row>0</xdr:row>
          <xdr:rowOff>266700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57150</xdr:rowOff>
        </xdr:from>
        <xdr:to>
          <xdr:col>1</xdr:col>
          <xdr:colOff>723900</xdr:colOff>
          <xdr:row>0</xdr:row>
          <xdr:rowOff>266700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転送内容読込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57150</xdr:rowOff>
        </xdr:from>
        <xdr:to>
          <xdr:col>8</xdr:col>
          <xdr:colOff>371475</xdr:colOff>
          <xdr:row>0</xdr:row>
          <xdr:rowOff>266700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丸健へ転送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57150</xdr:rowOff>
        </xdr:from>
        <xdr:to>
          <xdr:col>1</xdr:col>
          <xdr:colOff>723900</xdr:colOff>
          <xdr:row>0</xdr:row>
          <xdr:rowOff>266700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転送内容読込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57150</xdr:rowOff>
        </xdr:from>
        <xdr:to>
          <xdr:col>9</xdr:col>
          <xdr:colOff>228600</xdr:colOff>
          <xdr:row>0</xdr:row>
          <xdr:rowOff>266700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データ保存後登録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0</xdr:row>
          <xdr:rowOff>57150</xdr:rowOff>
        </xdr:from>
        <xdr:to>
          <xdr:col>1</xdr:col>
          <xdr:colOff>723900</xdr:colOff>
          <xdr:row>0</xdr:row>
          <xdr:rowOff>266700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転送内容読込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57150</xdr:rowOff>
        </xdr:from>
        <xdr:to>
          <xdr:col>9</xdr:col>
          <xdr:colOff>228600</xdr:colOff>
          <xdr:row>0</xdr:row>
          <xdr:rowOff>266700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データ保存後登録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38100</xdr:rowOff>
        </xdr:from>
        <xdr:to>
          <xdr:col>18</xdr:col>
          <xdr:colOff>390525</xdr:colOff>
          <xdr:row>2</xdr:row>
          <xdr:rowOff>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1</xdr:row>
          <xdr:rowOff>28575</xdr:rowOff>
        </xdr:from>
        <xdr:to>
          <xdr:col>10</xdr:col>
          <xdr:colOff>571500</xdr:colOff>
          <xdr:row>2</xdr:row>
          <xdr:rowOff>161925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&#20181;&#20107;&#65288;EDI&#65289;/&#21463;&#27880;&#31649;&#29702;(nafpack)&#20986;&#33655;&#299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店別出荷用"/>
      <sheetName val="出荷作業"/>
      <sheetName val="県別・店舗別照会"/>
      <sheetName val="受領csv取込"/>
      <sheetName val="受注変更"/>
      <sheetName val="商品リスト"/>
      <sheetName val="商品明細"/>
      <sheetName val="店番リスト"/>
      <sheetName val="都道府県リス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V533"/>
  <sheetViews>
    <sheetView tabSelected="1" workbookViewId="0">
      <selection activeCell="E1" sqref="E1"/>
    </sheetView>
  </sheetViews>
  <sheetFormatPr defaultColWidth="8.875" defaultRowHeight="13.5"/>
  <cols>
    <col min="1" max="1" width="12.5" style="1" customWidth="1"/>
    <col min="2" max="3" width="8.875" style="1"/>
    <col min="4" max="4" width="12.75" style="1" bestFit="1" customWidth="1"/>
    <col min="5" max="5" width="8.875" style="1"/>
    <col min="6" max="6" width="21.5" style="1" customWidth="1"/>
    <col min="7" max="7" width="20" style="1" bestFit="1" customWidth="1"/>
    <col min="8" max="8" width="8.875" style="1"/>
    <col min="9" max="9" width="8.875" style="64"/>
    <col min="10" max="13" width="8.875" style="1"/>
    <col min="14" max="14" width="9.5" style="1" bestFit="1" customWidth="1"/>
    <col min="15" max="15" width="8.875" style="1"/>
    <col min="16" max="16" width="11.125" style="64" customWidth="1"/>
    <col min="17" max="17" width="10.5" style="64" customWidth="1"/>
    <col min="18" max="16384" width="8.875" style="1"/>
  </cols>
  <sheetData>
    <row r="1" spans="1:22">
      <c r="A1" s="68">
        <v>2016</v>
      </c>
      <c r="B1" s="69" t="s">
        <v>1791</v>
      </c>
      <c r="C1" s="68">
        <v>6</v>
      </c>
      <c r="D1" s="69" t="s">
        <v>1792</v>
      </c>
      <c r="E1" s="68">
        <v>3</v>
      </c>
      <c r="F1" s="69" t="s">
        <v>1793</v>
      </c>
    </row>
    <row r="2" spans="1:22" ht="30.6" customHeight="1">
      <c r="D2" s="115" t="s">
        <v>1794</v>
      </c>
      <c r="E2" s="115"/>
      <c r="F2" s="115"/>
      <c r="G2" s="115"/>
      <c r="H2" s="115"/>
      <c r="I2" s="115"/>
    </row>
    <row r="3" spans="1:22">
      <c r="R3" s="77"/>
      <c r="S3" s="77"/>
      <c r="T3" s="77"/>
      <c r="U3" s="77"/>
      <c r="V3" s="77"/>
    </row>
    <row r="528" spans="16:17">
      <c r="P528" s="114"/>
      <c r="Q528" s="114"/>
    </row>
    <row r="529" spans="16:17">
      <c r="P529" s="114"/>
      <c r="Q529" s="114"/>
    </row>
    <row r="530" spans="16:17">
      <c r="P530" s="114"/>
      <c r="Q530" s="114"/>
    </row>
    <row r="531" spans="16:17">
      <c r="P531" s="114"/>
      <c r="Q531" s="114"/>
    </row>
    <row r="532" spans="16:17">
      <c r="P532" s="114"/>
      <c r="Q532" s="114"/>
    </row>
    <row r="533" spans="16:17">
      <c r="P533" s="114"/>
      <c r="Q533" s="114"/>
    </row>
  </sheetData>
  <sortState ref="A4:V71">
    <sortCondition ref="R4"/>
    <sortCondition ref="S4"/>
    <sortCondition ref="C4"/>
  </sortState>
  <mergeCells count="1">
    <mergeCell ref="D2:I2"/>
  </mergeCells>
  <phoneticPr fontId="6"/>
  <pageMargins left="0.7" right="0.7" top="0.75" bottom="0.75" header="0.3" footer="0.3"/>
  <pageSetup paperSize="9" scale="45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受注CSVデータ取込">
                <anchor moveWithCells="1" sizeWithCells="1">
                  <from>
                    <xdr:col>0</xdr:col>
                    <xdr:colOff>200025</xdr:colOff>
                    <xdr:row>1</xdr:row>
                    <xdr:rowOff>19050</xdr:rowOff>
                  </from>
                  <to>
                    <xdr:col>2</xdr:col>
                    <xdr:colOff>428625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sv受注データ登録">
                <anchor moveWithCells="1" sizeWithCells="1">
                  <from>
                    <xdr:col>12</xdr:col>
                    <xdr:colOff>123825</xdr:colOff>
                    <xdr:row>1</xdr:row>
                    <xdr:rowOff>19050</xdr:rowOff>
                  </from>
                  <to>
                    <xdr:col>14</xdr:col>
                    <xdr:colOff>561975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受注CSVデータクリア">
                <anchor moveWithCells="1" sizeWithCells="1">
                  <from>
                    <xdr:col>10</xdr:col>
                    <xdr:colOff>76200</xdr:colOff>
                    <xdr:row>1</xdr:row>
                    <xdr:rowOff>19050</xdr:rowOff>
                  </from>
                  <to>
                    <xdr:col>11</xdr:col>
                    <xdr:colOff>590550</xdr:colOff>
                    <xdr:row>1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R3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3.5"/>
  <cols>
    <col min="1" max="2" width="7.75" style="5" customWidth="1"/>
    <col min="3" max="3" width="11.75" style="5" customWidth="1"/>
    <col min="4" max="4" width="6.875" style="2" customWidth="1"/>
    <col min="5" max="5" width="16.625" style="2" customWidth="1"/>
    <col min="6" max="6" width="13" style="2" bestFit="1" customWidth="1"/>
    <col min="7" max="7" width="9.25" style="2" bestFit="1" customWidth="1"/>
    <col min="8" max="8" width="8.125" style="2" bestFit="1" customWidth="1"/>
    <col min="9" max="9" width="32.875" style="2" bestFit="1" customWidth="1"/>
    <col min="10" max="10" width="16.25" style="2" bestFit="1" customWidth="1"/>
    <col min="11" max="11" width="13" style="2" bestFit="1" customWidth="1"/>
    <col min="12" max="12" width="11.625" style="2" bestFit="1" customWidth="1"/>
    <col min="13" max="13" width="9.25" style="2" customWidth="1"/>
    <col min="14" max="14" width="14" style="2" customWidth="1"/>
    <col min="15" max="15" width="11" style="3" bestFit="1" customWidth="1"/>
    <col min="16" max="16" width="11" style="6" bestFit="1" customWidth="1"/>
    <col min="17" max="17" width="9.875" style="72" customWidth="1"/>
    <col min="18" max="18" width="9" style="2"/>
  </cols>
  <sheetData>
    <row r="1" spans="1:18" ht="24.75" customHeight="1">
      <c r="A1" s="7"/>
      <c r="B1" s="7"/>
      <c r="C1" s="7"/>
      <c r="D1" s="63" t="s">
        <v>1205</v>
      </c>
      <c r="E1" s="4"/>
      <c r="F1" s="4"/>
      <c r="G1" s="4"/>
      <c r="H1" s="4"/>
      <c r="I1" s="4"/>
      <c r="J1" s="85"/>
      <c r="K1"/>
      <c r="L1" s="76"/>
      <c r="M1"/>
      <c r="N1"/>
      <c r="O1" s="76"/>
      <c r="P1" s="76"/>
      <c r="Q1" s="76"/>
      <c r="R1" s="4"/>
    </row>
    <row r="2" spans="1:18">
      <c r="A2"/>
      <c r="B2"/>
      <c r="C2"/>
      <c r="D2"/>
      <c r="E2"/>
      <c r="F2"/>
      <c r="G2" s="76"/>
      <c r="H2" s="76"/>
      <c r="I2"/>
      <c r="J2"/>
      <c r="K2"/>
      <c r="L2" s="76"/>
      <c r="M2"/>
      <c r="N2"/>
      <c r="O2" s="76"/>
      <c r="P2" s="78"/>
      <c r="Q2" s="76"/>
      <c r="R2" s="4"/>
    </row>
    <row r="3" spans="1:18">
      <c r="A3" s="73" t="s">
        <v>1199</v>
      </c>
      <c r="B3" s="73" t="s">
        <v>1200</v>
      </c>
      <c r="C3" s="73" t="s">
        <v>1197</v>
      </c>
      <c r="D3" s="74" t="s">
        <v>1198</v>
      </c>
      <c r="E3" s="74" t="s">
        <v>1202</v>
      </c>
      <c r="F3" s="74" t="s">
        <v>1203</v>
      </c>
      <c r="G3" s="74" t="s">
        <v>1964</v>
      </c>
      <c r="H3" s="74" t="s">
        <v>1954</v>
      </c>
      <c r="I3" s="74" t="s">
        <v>1965</v>
      </c>
      <c r="J3" s="74" t="s">
        <v>1207</v>
      </c>
      <c r="K3" s="74" t="s">
        <v>1966</v>
      </c>
      <c r="L3" s="74" t="s">
        <v>1957</v>
      </c>
      <c r="M3" s="74" t="s">
        <v>1967</v>
      </c>
      <c r="N3" s="74" t="s">
        <v>1810</v>
      </c>
      <c r="O3" s="79" t="s">
        <v>1970</v>
      </c>
      <c r="P3" s="80" t="s">
        <v>1968</v>
      </c>
      <c r="Q3" s="75" t="s">
        <v>1969</v>
      </c>
      <c r="R3" s="74" t="s">
        <v>1807</v>
      </c>
    </row>
  </sheetData>
  <autoFilter ref="A3:R3"/>
  <phoneticPr fontId="8"/>
  <conditionalFormatting sqref="C3:C1048576">
    <cfRule type="expression" dxfId="11" priority="8">
      <formula>$Q3=1</formula>
    </cfRule>
  </conditionalFormatting>
  <conditionalFormatting sqref="A3:R1048576">
    <cfRule type="expression" dxfId="10" priority="1">
      <formula>$P3="yes"</formula>
    </cfRule>
    <cfRule type="expression" dxfId="9" priority="4">
      <formula>CELL("row")=ROW()</formula>
    </cfRule>
  </conditionalFormatting>
  <pageMargins left="0.23622047244094491" right="0.23622047244094491" top="0.74803149606299213" bottom="0.74803149606299213" header="0.31496062992125984" footer="0.31496062992125984"/>
  <pageSetup paperSize="9" orientation="landscape" horizontalDpi="300" verticalDpi="300" r:id="rId1"/>
  <headerFooter>
    <oddFooter>&amp;C
&amp;"-,太字"&amp;14 &amp;R&amp;D　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ダブリ確認読込">
                <anchor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2</xdr:col>
                    <xdr:colOff>504825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キャンセル処理">
                <anchor>
                  <from>
                    <xdr:col>12</xdr:col>
                    <xdr:colOff>171450</xdr:colOff>
                    <xdr:row>0</xdr:row>
                    <xdr:rowOff>57150</xdr:rowOff>
                  </from>
                  <to>
                    <xdr:col>13</xdr:col>
                    <xdr:colOff>581025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ダブリ確認後保留解除">
                <anchor>
                  <from>
                    <xdr:col>14</xdr:col>
                    <xdr:colOff>638175</xdr:colOff>
                    <xdr:row>0</xdr:row>
                    <xdr:rowOff>57150</xdr:rowOff>
                  </from>
                  <to>
                    <xdr:col>16</xdr:col>
                    <xdr:colOff>76200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Button 5">
              <controlPr defaultSize="0" print="0" autoFill="0" autoPict="0" macro="[0]!ダブリ確認後ダブり解除">
                <anchor>
                  <from>
                    <xdr:col>16</xdr:col>
                    <xdr:colOff>361950</xdr:colOff>
                    <xdr:row>0</xdr:row>
                    <xdr:rowOff>57150</xdr:rowOff>
                  </from>
                  <to>
                    <xdr:col>18</xdr:col>
                    <xdr:colOff>38100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T5"/>
  <sheetViews>
    <sheetView zoomScaleNormal="100" workbookViewId="0">
      <pane ySplit="5" topLeftCell="A6" activePane="bottomLeft" state="frozen"/>
      <selection pane="bottomLeft" activeCell="A6" sqref="A6"/>
    </sheetView>
  </sheetViews>
  <sheetFormatPr defaultRowHeight="13.5"/>
  <cols>
    <col min="1" max="2" width="10.5" style="5" bestFit="1" customWidth="1"/>
    <col min="3" max="3" width="11.75" style="5" customWidth="1"/>
    <col min="4" max="4" width="6.875" style="2" customWidth="1"/>
    <col min="5" max="5" width="5.25" style="2" customWidth="1"/>
    <col min="6" max="6" width="13" style="2" bestFit="1" customWidth="1"/>
    <col min="7" max="7" width="9.25" style="2" bestFit="1" customWidth="1"/>
    <col min="8" max="8" width="8.125" style="2" bestFit="1" customWidth="1"/>
    <col min="9" max="9" width="9" style="2" bestFit="1" customWidth="1"/>
    <col min="10" max="10" width="5.25" style="2" bestFit="1" customWidth="1"/>
    <col min="11" max="11" width="13" style="2" bestFit="1" customWidth="1"/>
    <col min="12" max="12" width="11.625" style="2" bestFit="1" customWidth="1"/>
    <col min="13" max="13" width="14.125" style="2" bestFit="1" customWidth="1"/>
    <col min="14" max="14" width="5.25" style="2" bestFit="1" customWidth="1"/>
    <col min="15" max="15" width="11" style="88" bestFit="1" customWidth="1"/>
    <col min="16" max="16" width="11.5" style="89" bestFit="1" customWidth="1"/>
    <col min="17" max="19" width="9" style="89"/>
    <col min="20" max="16384" width="9" style="85"/>
  </cols>
  <sheetData>
    <row r="1" spans="1:20" ht="24.75" customHeight="1">
      <c r="A1" s="7"/>
      <c r="B1" s="7"/>
      <c r="C1" s="4" t="s">
        <v>1979</v>
      </c>
      <c r="D1" s="117" t="s">
        <v>2040</v>
      </c>
      <c r="E1" s="117"/>
      <c r="F1" s="117"/>
      <c r="G1" s="4"/>
      <c r="H1" s="4"/>
      <c r="I1" s="4"/>
      <c r="J1" s="85"/>
      <c r="K1" s="85"/>
      <c r="L1" s="4"/>
      <c r="M1" s="85"/>
      <c r="N1" s="85"/>
      <c r="O1" s="4"/>
      <c r="P1" s="85"/>
      <c r="Q1" s="85"/>
      <c r="R1" s="85"/>
      <c r="S1" s="85"/>
    </row>
    <row r="2" spans="1:20" ht="24.75" customHeight="1">
      <c r="A2" s="7"/>
      <c r="B2" s="7" t="s">
        <v>1979</v>
      </c>
      <c r="C2" s="90">
        <v>353</v>
      </c>
      <c r="D2" s="116" t="str">
        <f>IF(ISNA(VLOOKUP(C2,店番リスト!A:B,2,FALSE)),"登録なし！",VLOOKUP(C2,店番リスト!A:B,2,FALSE))</f>
        <v>御所店</v>
      </c>
      <c r="E2" s="116"/>
      <c r="F2" s="116"/>
      <c r="G2" s="4"/>
      <c r="H2" s="4"/>
      <c r="I2" s="4"/>
      <c r="J2" s="85"/>
      <c r="K2" s="85"/>
      <c r="L2" s="4"/>
      <c r="M2" s="85"/>
      <c r="N2" s="85"/>
      <c r="O2" s="4"/>
      <c r="P2" s="85"/>
      <c r="Q2" s="85"/>
      <c r="R2" s="85"/>
      <c r="S2" s="85"/>
    </row>
    <row r="3" spans="1:20" ht="24.75" customHeight="1">
      <c r="A3" s="7"/>
      <c r="B3" s="7" t="s">
        <v>1203</v>
      </c>
      <c r="C3" s="90">
        <v>7977546</v>
      </c>
      <c r="D3" s="85"/>
      <c r="E3" s="85"/>
      <c r="F3" s="85"/>
      <c r="G3" s="4"/>
      <c r="H3" s="4"/>
      <c r="I3" s="4"/>
      <c r="J3" s="85"/>
      <c r="K3" s="85"/>
      <c r="L3" s="4"/>
      <c r="M3" s="85"/>
      <c r="N3" s="85"/>
      <c r="O3" s="4"/>
      <c r="P3" s="85"/>
      <c r="Q3" s="85"/>
      <c r="R3" s="85"/>
      <c r="S3" s="85"/>
    </row>
    <row r="4" spans="1:20">
      <c r="A4" s="85"/>
      <c r="B4" s="85"/>
      <c r="C4" s="85"/>
      <c r="D4" s="85"/>
      <c r="E4" s="85"/>
      <c r="F4" s="85"/>
      <c r="G4" s="4"/>
      <c r="H4" s="4"/>
      <c r="I4" s="85"/>
      <c r="J4" s="85"/>
      <c r="K4" s="85"/>
      <c r="L4" s="4"/>
      <c r="M4" s="85"/>
      <c r="N4" s="85"/>
      <c r="O4" s="4"/>
      <c r="P4" s="85"/>
      <c r="Q4" s="85"/>
      <c r="R4" s="85"/>
      <c r="S4" s="85"/>
    </row>
    <row r="5" spans="1:20">
      <c r="A5" s="73" t="s">
        <v>2041</v>
      </c>
      <c r="B5" s="73" t="s">
        <v>2042</v>
      </c>
      <c r="C5" s="73" t="s">
        <v>1978</v>
      </c>
      <c r="D5" s="74" t="s">
        <v>2043</v>
      </c>
      <c r="E5" s="74" t="s">
        <v>2044</v>
      </c>
      <c r="F5" s="74" t="s">
        <v>1203</v>
      </c>
      <c r="G5" s="74" t="s">
        <v>2045</v>
      </c>
      <c r="H5" s="74" t="s">
        <v>1971</v>
      </c>
      <c r="I5" s="74" t="s">
        <v>2046</v>
      </c>
      <c r="J5" s="74" t="s">
        <v>1964</v>
      </c>
      <c r="K5" s="74" t="s">
        <v>1966</v>
      </c>
      <c r="L5" s="74" t="s">
        <v>2034</v>
      </c>
      <c r="M5" s="74" t="s">
        <v>1982</v>
      </c>
      <c r="N5" s="74" t="s">
        <v>1979</v>
      </c>
      <c r="O5" s="79" t="s">
        <v>1980</v>
      </c>
      <c r="P5" s="74" t="s">
        <v>1972</v>
      </c>
      <c r="Q5" s="74" t="s">
        <v>2436</v>
      </c>
      <c r="R5" s="74" t="s">
        <v>2443</v>
      </c>
      <c r="S5" s="74" t="s">
        <v>1975</v>
      </c>
      <c r="T5" s="74" t="s">
        <v>1961</v>
      </c>
    </row>
  </sheetData>
  <mergeCells count="2">
    <mergeCell ref="D2:F2"/>
    <mergeCell ref="D1:F1"/>
  </mergeCells>
  <phoneticPr fontId="8"/>
  <conditionalFormatting sqref="T5 A5:S1048576">
    <cfRule type="expression" dxfId="8" priority="14">
      <formula>CELL("row")=ROW()</formula>
    </cfRule>
  </conditionalFormatting>
  <pageMargins left="1" right="1" top="1" bottom="1" header="0.5" footer="0.5"/>
  <pageSetup paperSize="9" scale="90" orientation="portrait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6" r:id="rId4" name="Button 2">
              <controlPr defaultSize="0" print="0" autoFill="0" autoPict="0" macro="[0]!伝票訂正キャンセル">
                <anchor>
                  <from>
                    <xdr:col>10</xdr:col>
                    <xdr:colOff>485775</xdr:colOff>
                    <xdr:row>1</xdr:row>
                    <xdr:rowOff>47625</xdr:rowOff>
                  </from>
                  <to>
                    <xdr:col>11</xdr:col>
                    <xdr:colOff>609600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5" name="Button 5">
              <controlPr defaultSize="0" print="0" autoFill="0" autoPict="0" macro="[0]!伝票別データ検索">
                <anchor>
                  <from>
                    <xdr:col>6</xdr:col>
                    <xdr:colOff>95250</xdr:colOff>
                    <xdr:row>2</xdr:row>
                    <xdr:rowOff>57150</xdr:rowOff>
                  </from>
                  <to>
                    <xdr:col>8</xdr:col>
                    <xdr:colOff>561975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6" name="Button 6">
              <controlPr defaultSize="0" print="0" autoFill="0" autoPict="0" macro="[0]!店舗別データ検索">
                <anchor>
                  <from>
                    <xdr:col>6</xdr:col>
                    <xdr:colOff>95250</xdr:colOff>
                    <xdr:row>1</xdr:row>
                    <xdr:rowOff>38100</xdr:rowOff>
                  </from>
                  <to>
                    <xdr:col>8</xdr:col>
                    <xdr:colOff>561975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7" name="Button 10">
              <controlPr defaultSize="0" print="0" autoFill="0" autoPict="0" macro="[0]!伝票訂正キャンセル解除">
                <anchor>
                  <from>
                    <xdr:col>10</xdr:col>
                    <xdr:colOff>485775</xdr:colOff>
                    <xdr:row>2</xdr:row>
                    <xdr:rowOff>57150</xdr:rowOff>
                  </from>
                  <to>
                    <xdr:col>11</xdr:col>
                    <xdr:colOff>609600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8" name="Button 11">
              <controlPr defaultSize="0" print="0" autoFill="0" autoPict="0" macro="[0]!伝票訂正伝票削除">
                <anchor>
                  <from>
                    <xdr:col>14</xdr:col>
                    <xdr:colOff>228600</xdr:colOff>
                    <xdr:row>2</xdr:row>
                    <xdr:rowOff>57150</xdr:rowOff>
                  </from>
                  <to>
                    <xdr:col>15</xdr:col>
                    <xdr:colOff>504825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9" name="Button 12">
              <controlPr defaultSize="0" print="0" autoFill="0" autoPict="0" macro="[0]!伝票訂正数量変更">
                <anchor>
                  <from>
                    <xdr:col>12</xdr:col>
                    <xdr:colOff>171450</xdr:colOff>
                    <xdr:row>1</xdr:row>
                    <xdr:rowOff>47625</xdr:rowOff>
                  </from>
                  <to>
                    <xdr:col>13</xdr:col>
                    <xdr:colOff>209550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0" name="Button 13">
              <controlPr defaultSize="0" print="0" autoFill="0" autoPict="0" macro="[0]!伝票訂正重要度変更">
                <anchor>
                  <from>
                    <xdr:col>12</xdr:col>
                    <xdr:colOff>171450</xdr:colOff>
                    <xdr:row>2</xdr:row>
                    <xdr:rowOff>47625</xdr:rowOff>
                  </from>
                  <to>
                    <xdr:col>13</xdr:col>
                    <xdr:colOff>209550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1" name="Button 14">
              <controlPr defaultSize="0" print="0" autoFill="0" autoPict="0" macro="[0]!伝票訂正リセット">
                <anchor>
                  <from>
                    <xdr:col>14</xdr:col>
                    <xdr:colOff>228600</xdr:colOff>
                    <xdr:row>1</xdr:row>
                    <xdr:rowOff>57150</xdr:rowOff>
                  </from>
                  <to>
                    <xdr:col>16</xdr:col>
                    <xdr:colOff>447675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2" name="Button 15">
              <controlPr defaultSize="0" print="0" autoFill="0" autoPict="0" macro="[0]!伝票訂正納品日変更">
                <anchor>
                  <from>
                    <xdr:col>15</xdr:col>
                    <xdr:colOff>857250</xdr:colOff>
                    <xdr:row>2</xdr:row>
                    <xdr:rowOff>57150</xdr:rowOff>
                  </from>
                  <to>
                    <xdr:col>17</xdr:col>
                    <xdr:colOff>666750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3" name="Button 16">
              <controlPr defaultSize="0" print="0" autoFill="0" autoPict="0" macro="[0]!伝票訂正配送担当変更">
                <anchor>
                  <from>
                    <xdr:col>18</xdr:col>
                    <xdr:colOff>200025</xdr:colOff>
                    <xdr:row>2</xdr:row>
                    <xdr:rowOff>57150</xdr:rowOff>
                  </from>
                  <to>
                    <xdr:col>20</xdr:col>
                    <xdr:colOff>200025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Q57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10.5" style="5" bestFit="1" customWidth="1"/>
    <col min="2" max="2" width="5.25" style="6" bestFit="1" customWidth="1"/>
    <col min="3" max="3" width="13.75" style="5" bestFit="1" customWidth="1"/>
    <col min="4" max="4" width="9" style="2" bestFit="1" customWidth="1"/>
    <col min="5" max="5" width="8.125" style="2" bestFit="1" customWidth="1"/>
    <col min="6" max="6" width="9.875" style="2" bestFit="1" customWidth="1"/>
    <col min="7" max="7" width="21.625" style="2" bestFit="1" customWidth="1"/>
    <col min="8" max="8" width="11.5" style="2" customWidth="1"/>
    <col min="9" max="9" width="5.25" style="2" bestFit="1" customWidth="1"/>
    <col min="10" max="10" width="9" style="2" bestFit="1" customWidth="1"/>
    <col min="11" max="11" width="11.625" style="2" bestFit="1" customWidth="1"/>
    <col min="12" max="12" width="7.125" style="2" bestFit="1" customWidth="1"/>
    <col min="13" max="13" width="12.25" style="2" customWidth="1"/>
    <col min="14" max="14" width="9" style="2" bestFit="1" customWidth="1"/>
    <col min="15" max="15" width="9" style="72" customWidth="1"/>
    <col min="16" max="16" width="9" style="88" bestFit="1" customWidth="1"/>
    <col min="17" max="17" width="9" style="89"/>
  </cols>
  <sheetData>
    <row r="1" spans="1:17" ht="24.75" customHeight="1">
      <c r="A1" s="7"/>
      <c r="B1" s="81"/>
      <c r="C1" s="7"/>
      <c r="D1" s="63"/>
      <c r="E1" s="4"/>
      <c r="F1" s="4"/>
      <c r="G1" s="4"/>
      <c r="H1" s="4"/>
      <c r="I1" s="4"/>
      <c r="J1" s="85"/>
      <c r="K1"/>
      <c r="L1" s="76"/>
      <c r="M1"/>
      <c r="N1"/>
      <c r="O1"/>
      <c r="P1" s="76"/>
      <c r="Q1" s="85"/>
    </row>
    <row r="2" spans="1:17">
      <c r="A2" s="86"/>
      <c r="B2" s="82"/>
      <c r="C2"/>
      <c r="D2"/>
      <c r="E2"/>
      <c r="F2"/>
      <c r="G2" s="76"/>
      <c r="H2" s="76"/>
      <c r="I2"/>
      <c r="J2"/>
      <c r="K2"/>
      <c r="L2" s="76"/>
      <c r="M2"/>
      <c r="N2"/>
      <c r="O2"/>
      <c r="P2" s="76"/>
      <c r="Q2" s="85"/>
    </row>
    <row r="3" spans="1:17">
      <c r="A3" s="73" t="s">
        <v>1978</v>
      </c>
      <c r="B3" s="80" t="s">
        <v>1979</v>
      </c>
      <c r="C3" s="73" t="s">
        <v>1980</v>
      </c>
      <c r="D3" s="74" t="s">
        <v>1203</v>
      </c>
      <c r="E3" s="74" t="s">
        <v>1954</v>
      </c>
      <c r="F3" s="74" t="s">
        <v>1952</v>
      </c>
      <c r="G3" s="74" t="s">
        <v>1974</v>
      </c>
      <c r="H3" s="74" t="s">
        <v>1956</v>
      </c>
      <c r="I3" s="74" t="s">
        <v>1964</v>
      </c>
      <c r="J3" s="74" t="s">
        <v>1966</v>
      </c>
      <c r="K3" s="74" t="s">
        <v>2034</v>
      </c>
      <c r="L3" s="74" t="s">
        <v>1967</v>
      </c>
      <c r="M3" s="74" t="s">
        <v>2035</v>
      </c>
      <c r="N3" s="74" t="s">
        <v>2036</v>
      </c>
      <c r="O3" s="75" t="s">
        <v>2039</v>
      </c>
      <c r="P3" s="87" t="s">
        <v>2037</v>
      </c>
      <c r="Q3" s="74" t="s">
        <v>2038</v>
      </c>
    </row>
    <row r="175" spans="10:10">
      <c r="J175" s="65"/>
    </row>
    <row r="177" spans="10:10">
      <c r="J177" s="65"/>
    </row>
    <row r="182" spans="10:10">
      <c r="J182" s="65"/>
    </row>
    <row r="220" spans="10:10">
      <c r="J220" s="65"/>
    </row>
    <row r="223" spans="10:10">
      <c r="J223" s="65"/>
    </row>
    <row r="240" spans="10:10">
      <c r="J240" s="65"/>
    </row>
    <row r="576" spans="10:10">
      <c r="J576" s="65"/>
    </row>
  </sheetData>
  <autoFilter ref="A3:Q1081"/>
  <phoneticPr fontId="8"/>
  <conditionalFormatting sqref="Q3 A3:P1048576">
    <cfRule type="expression" dxfId="7" priority="4">
      <formula>CELL("row")=ROW()</formula>
    </cfRule>
  </conditionalFormatting>
  <pageMargins left="0.25" right="0.25" top="0.75" bottom="0.75" header="0.3" footer="0.3"/>
  <pageSetup paperSize="9" scale="10" orientation="landscape" horizontalDpi="300" verticalDpi="300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在庫数確認読込">
                <anchor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2</xdr:col>
                    <xdr:colOff>485775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在庫数確認後保留解除">
                <anchor>
                  <from>
                    <xdr:col>12</xdr:col>
                    <xdr:colOff>733425</xdr:colOff>
                    <xdr:row>0</xdr:row>
                    <xdr:rowOff>57150</xdr:rowOff>
                  </from>
                  <to>
                    <xdr:col>14</xdr:col>
                    <xdr:colOff>228600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464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11.625" style="6" bestFit="1" customWidth="1"/>
    <col min="2" max="2" width="14" style="6" customWidth="1"/>
    <col min="3" max="3" width="11.75" style="5" customWidth="1"/>
    <col min="4" max="4" width="6.875" style="2" customWidth="1"/>
    <col min="5" max="5" width="16.625" style="2" customWidth="1"/>
    <col min="6" max="6" width="13" style="2" bestFit="1" customWidth="1"/>
    <col min="7" max="7" width="21.625" style="2" bestFit="1" customWidth="1"/>
    <col min="8" max="8" width="32.875" style="2" bestFit="1" customWidth="1"/>
    <col min="9" max="9" width="9.25" style="2" bestFit="1" customWidth="1"/>
    <col min="10" max="10" width="10.375" style="2" customWidth="1"/>
    <col min="11" max="11" width="9.25" style="2" bestFit="1" customWidth="1"/>
    <col min="12" max="12" width="9.25" style="2" customWidth="1"/>
    <col min="13" max="13" width="8.25" style="2" customWidth="1"/>
    <col min="14" max="14" width="9.875" style="6" customWidth="1"/>
    <col min="15" max="15" width="11" style="6" bestFit="1" customWidth="1"/>
    <col min="16" max="16" width="9.25" style="72" bestFit="1" customWidth="1"/>
    <col min="17" max="17" width="8.375" style="2" customWidth="1"/>
  </cols>
  <sheetData>
    <row r="1" spans="1:17" ht="24.75" customHeight="1">
      <c r="A1" s="81"/>
      <c r="B1" s="81"/>
      <c r="C1" s="63" t="s">
        <v>1205</v>
      </c>
      <c r="D1" s="8"/>
      <c r="E1" s="4"/>
      <c r="F1" s="4"/>
      <c r="G1" s="4"/>
      <c r="H1" s="4"/>
      <c r="I1" t="s">
        <v>1983</v>
      </c>
      <c r="J1"/>
      <c r="K1" s="76">
        <v>10005365</v>
      </c>
      <c r="L1"/>
      <c r="M1"/>
      <c r="N1" s="78"/>
      <c r="O1" s="76"/>
      <c r="P1" s="76"/>
      <c r="Q1" s="4"/>
    </row>
    <row r="2" spans="1:17">
      <c r="A2" s="82"/>
      <c r="B2" s="82"/>
      <c r="C2"/>
      <c r="D2"/>
      <c r="E2"/>
      <c r="F2"/>
      <c r="G2" s="76"/>
      <c r="H2"/>
      <c r="I2"/>
      <c r="J2"/>
      <c r="K2" s="76"/>
      <c r="L2"/>
      <c r="M2"/>
      <c r="N2" s="78"/>
      <c r="O2" s="78"/>
      <c r="P2" s="76"/>
      <c r="Q2" s="4"/>
    </row>
    <row r="3" spans="1:17">
      <c r="A3" s="80" t="s">
        <v>1972</v>
      </c>
      <c r="B3" s="80" t="s">
        <v>1973</v>
      </c>
      <c r="C3" s="73" t="s">
        <v>1197</v>
      </c>
      <c r="D3" s="74" t="s">
        <v>1198</v>
      </c>
      <c r="E3" s="74" t="s">
        <v>1202</v>
      </c>
      <c r="F3" s="74" t="s">
        <v>1203</v>
      </c>
      <c r="G3" s="74" t="s">
        <v>1974</v>
      </c>
      <c r="H3" s="74" t="s">
        <v>1956</v>
      </c>
      <c r="I3" s="74" t="s">
        <v>1964</v>
      </c>
      <c r="J3" s="74" t="s">
        <v>1966</v>
      </c>
      <c r="K3" s="74" t="s">
        <v>1975</v>
      </c>
      <c r="L3" s="74" t="s">
        <v>1957</v>
      </c>
      <c r="M3" s="74" t="s">
        <v>1967</v>
      </c>
      <c r="N3" s="80" t="s">
        <v>1810</v>
      </c>
      <c r="O3" s="80" t="s">
        <v>1976</v>
      </c>
      <c r="P3" s="75" t="s">
        <v>1971</v>
      </c>
      <c r="Q3" s="74" t="s">
        <v>1977</v>
      </c>
    </row>
    <row r="9" spans="1:17">
      <c r="E9" s="65"/>
      <c r="F9" s="65"/>
    </row>
    <row r="13" spans="1:17">
      <c r="E13" s="70"/>
      <c r="F13" s="70"/>
      <c r="M13" s="70"/>
    </row>
    <row r="14" spans="1:17">
      <c r="E14" s="70"/>
      <c r="F14" s="70"/>
      <c r="M14" s="70"/>
    </row>
    <row r="34" spans="5:6">
      <c r="E34" s="65"/>
      <c r="F34" s="65"/>
    </row>
    <row r="52" spans="3:11">
      <c r="E52" s="65"/>
      <c r="F52" s="65"/>
    </row>
    <row r="54" spans="3:11">
      <c r="C54" s="71"/>
      <c r="D54" s="65"/>
      <c r="E54" s="65"/>
      <c r="F54" s="65"/>
      <c r="G54" s="65"/>
      <c r="H54" s="65"/>
      <c r="I54" s="65"/>
      <c r="J54" s="65"/>
      <c r="K54" s="65"/>
    </row>
    <row r="78" spans="5:9">
      <c r="I78" s="65"/>
    </row>
    <row r="79" spans="5:9">
      <c r="E79" s="65"/>
      <c r="F79" s="65"/>
    </row>
    <row r="81" spans="3:13">
      <c r="E81" s="65"/>
      <c r="F81" s="65"/>
    </row>
    <row r="82" spans="3:13">
      <c r="E82" s="65"/>
      <c r="F82" s="65"/>
    </row>
    <row r="84" spans="3:13">
      <c r="E84" s="65"/>
      <c r="F84" s="65"/>
    </row>
    <row r="85" spans="3:13">
      <c r="E85" s="65"/>
      <c r="F85" s="65"/>
    </row>
    <row r="94" spans="3:13">
      <c r="C94" s="71"/>
      <c r="D94" s="65"/>
      <c r="E94" s="65"/>
      <c r="F94" s="65"/>
      <c r="G94" s="65"/>
      <c r="H94" s="65"/>
      <c r="I94" s="65"/>
      <c r="J94" s="65"/>
      <c r="K94" s="65"/>
    </row>
    <row r="95" spans="3:13">
      <c r="E95" s="70"/>
      <c r="F95" s="70"/>
      <c r="M95" s="70"/>
    </row>
    <row r="109" spans="5:13">
      <c r="E109" s="70"/>
      <c r="F109" s="70"/>
      <c r="M109" s="70"/>
    </row>
    <row r="110" spans="5:13">
      <c r="E110" s="70"/>
      <c r="F110" s="70"/>
      <c r="M110" s="70"/>
    </row>
    <row r="111" spans="5:13">
      <c r="E111" s="70"/>
      <c r="F111" s="70"/>
      <c r="M111" s="70"/>
    </row>
    <row r="112" spans="5:13">
      <c r="E112" s="70"/>
      <c r="F112" s="70"/>
      <c r="M112" s="70"/>
    </row>
    <row r="123" spans="5:13">
      <c r="E123" s="70"/>
      <c r="F123" s="70"/>
      <c r="M123" s="70"/>
    </row>
    <row r="125" spans="5:13">
      <c r="E125" s="70"/>
      <c r="F125" s="70"/>
      <c r="M125" s="70"/>
    </row>
    <row r="126" spans="5:13">
      <c r="E126" s="70"/>
      <c r="F126" s="70"/>
      <c r="M126" s="70"/>
    </row>
    <row r="127" spans="5:13">
      <c r="E127" s="70"/>
      <c r="F127" s="70"/>
      <c r="M127" s="70"/>
    </row>
    <row r="169" spans="5:6">
      <c r="E169" s="65"/>
      <c r="F169" s="65"/>
    </row>
    <row r="179" spans="5:13">
      <c r="E179" s="70"/>
      <c r="F179" s="70"/>
      <c r="M179" s="70"/>
    </row>
    <row r="236" spans="5:6">
      <c r="E236" s="65"/>
      <c r="F236" s="65"/>
    </row>
    <row r="241" spans="5:13">
      <c r="E241" s="65"/>
      <c r="F241" s="65"/>
    </row>
    <row r="243" spans="5:13">
      <c r="E243" s="65"/>
      <c r="F243" s="65"/>
    </row>
    <row r="244" spans="5:13">
      <c r="E244" s="65"/>
      <c r="F244" s="65"/>
    </row>
    <row r="253" spans="5:13" ht="15" customHeight="1">
      <c r="E253" s="70"/>
      <c r="F253" s="70"/>
      <c r="M253" s="70"/>
    </row>
    <row r="289" spans="5:13" ht="16.5" customHeight="1">
      <c r="E289" s="70"/>
      <c r="F289" s="70"/>
      <c r="M289" s="70"/>
    </row>
    <row r="321" spans="5:13">
      <c r="E321" s="65"/>
      <c r="F321" s="65"/>
    </row>
    <row r="332" spans="5:13" ht="15.75" customHeight="1">
      <c r="E332" s="70"/>
      <c r="F332" s="70"/>
      <c r="M332" s="70"/>
    </row>
    <row r="346" spans="5:6">
      <c r="E346" s="65"/>
      <c r="F346" s="65"/>
    </row>
    <row r="348" spans="5:6">
      <c r="E348" s="65"/>
      <c r="F348" s="65"/>
    </row>
    <row r="350" spans="5:6">
      <c r="E350" s="65"/>
      <c r="F350" s="65"/>
    </row>
    <row r="356" spans="5:13" ht="15.75" customHeight="1">
      <c r="E356" s="70"/>
      <c r="F356" s="70"/>
      <c r="M356" s="70"/>
    </row>
    <row r="382" spans="5:13" ht="15" customHeight="1">
      <c r="E382" s="70"/>
      <c r="F382" s="70"/>
      <c r="M382" s="70"/>
    </row>
    <row r="389" spans="5:6">
      <c r="E389" s="65"/>
      <c r="F389" s="65"/>
    </row>
    <row r="392" spans="5:6">
      <c r="E392" s="65"/>
      <c r="F392" s="65"/>
    </row>
    <row r="445" spans="5:13">
      <c r="I445" s="65"/>
    </row>
    <row r="447" spans="5:13" ht="17.25" customHeight="1">
      <c r="E447" s="70"/>
      <c r="F447" s="70"/>
      <c r="M447" s="70"/>
    </row>
    <row r="464" spans="5:13" ht="15" customHeight="1">
      <c r="E464" s="70"/>
      <c r="F464" s="70"/>
      <c r="M464" s="70"/>
    </row>
  </sheetData>
  <autoFilter ref="A3:Q54"/>
  <phoneticPr fontId="8"/>
  <conditionalFormatting sqref="A3:Q1048576">
    <cfRule type="expression" dxfId="6" priority="2">
      <formula>CELL("row")=ROW()</formula>
    </cfRule>
  </conditionalFormatting>
  <pageMargins left="1" right="1" top="1" bottom="1" header="0.5" footer="0.5"/>
  <pageSetup paperSize="9" scale="90" orientation="portrait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二次製品データ読込">
                <anchor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1</xdr:col>
                    <xdr:colOff>800100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二次製品データ処理後登録">
                <anchor>
                  <from>
                    <xdr:col>10</xdr:col>
                    <xdr:colOff>695325</xdr:colOff>
                    <xdr:row>0</xdr:row>
                    <xdr:rowOff>57150</xdr:rowOff>
                  </from>
                  <to>
                    <xdr:col>12</xdr:col>
                    <xdr:colOff>400050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464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12.625" style="5" bestFit="1" customWidth="1"/>
    <col min="2" max="2" width="11.625" style="5" bestFit="1" customWidth="1"/>
    <col min="3" max="3" width="9.25" style="6" customWidth="1"/>
    <col min="4" max="4" width="16.625" style="2" bestFit="1" customWidth="1"/>
    <col min="5" max="5" width="13" style="2" bestFit="1" customWidth="1"/>
    <col min="6" max="6" width="10.25" style="2" customWidth="1"/>
    <col min="7" max="7" width="32.875" style="2" bestFit="1" customWidth="1"/>
    <col min="8" max="8" width="16.25" style="2" bestFit="1" customWidth="1"/>
    <col min="9" max="9" width="7.125" style="2" customWidth="1"/>
    <col min="10" max="10" width="9.875" style="2" customWidth="1"/>
    <col min="11" max="11" width="9.25" style="2" bestFit="1" customWidth="1"/>
    <col min="12" max="12" width="11.625" style="2" bestFit="1" customWidth="1"/>
    <col min="13" max="15" width="9.25" style="2" customWidth="1"/>
  </cols>
  <sheetData>
    <row r="1" spans="1:15" ht="24.75" customHeight="1">
      <c r="A1" s="7"/>
      <c r="B1" s="7"/>
      <c r="C1" s="83" t="s">
        <v>1205</v>
      </c>
      <c r="D1" s="8"/>
      <c r="E1" s="4"/>
      <c r="F1" s="4"/>
      <c r="G1" s="4"/>
      <c r="H1" s="4"/>
      <c r="I1" s="4"/>
      <c r="J1"/>
      <c r="K1"/>
      <c r="L1" s="76"/>
      <c r="M1"/>
      <c r="N1"/>
      <c r="O1"/>
    </row>
    <row r="2" spans="1:15">
      <c r="A2"/>
      <c r="B2"/>
      <c r="C2" s="82"/>
      <c r="D2"/>
      <c r="E2"/>
      <c r="F2"/>
      <c r="G2"/>
      <c r="H2" s="76"/>
      <c r="I2"/>
      <c r="J2"/>
      <c r="K2"/>
      <c r="L2" s="76"/>
      <c r="M2"/>
      <c r="N2"/>
      <c r="O2"/>
    </row>
    <row r="3" spans="1:15">
      <c r="A3" s="73" t="s">
        <v>1973</v>
      </c>
      <c r="B3" s="73" t="s">
        <v>1978</v>
      </c>
      <c r="C3" s="80" t="s">
        <v>1979</v>
      </c>
      <c r="D3" s="74" t="s">
        <v>1980</v>
      </c>
      <c r="E3" s="74" t="s">
        <v>1203</v>
      </c>
      <c r="F3" s="74" t="s">
        <v>1954</v>
      </c>
      <c r="G3" s="74" t="s">
        <v>1974</v>
      </c>
      <c r="H3" s="74" t="s">
        <v>1956</v>
      </c>
      <c r="I3" s="74" t="s">
        <v>1964</v>
      </c>
      <c r="J3" s="74" t="s">
        <v>1966</v>
      </c>
      <c r="K3" s="74" t="s">
        <v>1975</v>
      </c>
      <c r="L3" s="74" t="s">
        <v>1957</v>
      </c>
      <c r="M3" s="74" t="s">
        <v>1967</v>
      </c>
      <c r="N3" s="74" t="s">
        <v>1981</v>
      </c>
      <c r="O3" s="74" t="s">
        <v>1982</v>
      </c>
    </row>
    <row r="9" spans="1:15">
      <c r="E9" s="65"/>
      <c r="F9" s="65"/>
      <c r="G9" s="65"/>
    </row>
    <row r="13" spans="1:15">
      <c r="E13" s="70"/>
      <c r="F13" s="70"/>
      <c r="G13" s="70"/>
    </row>
    <row r="14" spans="1:15">
      <c r="E14" s="70"/>
      <c r="F14" s="70"/>
      <c r="G14" s="70"/>
    </row>
    <row r="34" spans="5:7">
      <c r="E34" s="65"/>
      <c r="F34" s="65"/>
      <c r="G34" s="65"/>
    </row>
    <row r="52" spans="3:12">
      <c r="E52" s="65"/>
      <c r="F52" s="65"/>
      <c r="G52" s="65"/>
    </row>
    <row r="54" spans="3:12">
      <c r="C54" s="84"/>
      <c r="D54" s="65"/>
      <c r="E54" s="65"/>
      <c r="F54" s="65"/>
      <c r="G54" s="65"/>
      <c r="H54" s="65"/>
      <c r="I54" s="65"/>
      <c r="J54" s="65"/>
      <c r="K54" s="65"/>
      <c r="L54" s="65"/>
    </row>
    <row r="78" spans="5:10">
      <c r="J78" s="65"/>
    </row>
    <row r="79" spans="5:10">
      <c r="E79" s="65"/>
      <c r="F79" s="65"/>
      <c r="G79" s="65"/>
    </row>
    <row r="81" spans="3:12">
      <c r="E81" s="65"/>
      <c r="F81" s="65"/>
      <c r="G81" s="65"/>
    </row>
    <row r="82" spans="3:12">
      <c r="E82" s="65"/>
      <c r="F82" s="65"/>
      <c r="G82" s="65"/>
    </row>
    <row r="84" spans="3:12">
      <c r="E84" s="65"/>
      <c r="F84" s="65"/>
      <c r="G84" s="65"/>
    </row>
    <row r="85" spans="3:12">
      <c r="E85" s="65"/>
      <c r="F85" s="65"/>
      <c r="G85" s="65"/>
    </row>
    <row r="94" spans="3:12">
      <c r="C94" s="84"/>
      <c r="D94" s="65"/>
      <c r="E94" s="65"/>
      <c r="F94" s="65"/>
      <c r="G94" s="65"/>
      <c r="H94" s="65"/>
      <c r="I94" s="65"/>
      <c r="J94" s="65"/>
      <c r="K94" s="65"/>
      <c r="L94" s="65"/>
    </row>
    <row r="95" spans="3:12">
      <c r="E95" s="70"/>
      <c r="F95" s="70"/>
      <c r="G95" s="70"/>
    </row>
    <row r="109" spans="5:7">
      <c r="E109" s="70"/>
      <c r="F109" s="70"/>
      <c r="G109" s="70"/>
    </row>
    <row r="110" spans="5:7">
      <c r="E110" s="70"/>
      <c r="F110" s="70"/>
      <c r="G110" s="70"/>
    </row>
    <row r="111" spans="5:7">
      <c r="E111" s="70"/>
      <c r="F111" s="70"/>
      <c r="G111" s="70"/>
    </row>
    <row r="112" spans="5:7">
      <c r="E112" s="70"/>
      <c r="F112" s="70"/>
      <c r="G112" s="70"/>
    </row>
    <row r="123" spans="5:7">
      <c r="E123" s="70"/>
      <c r="F123" s="70"/>
      <c r="G123" s="70"/>
    </row>
    <row r="125" spans="5:7">
      <c r="E125" s="70"/>
      <c r="F125" s="70"/>
      <c r="G125" s="70"/>
    </row>
    <row r="126" spans="5:7">
      <c r="E126" s="70"/>
      <c r="F126" s="70"/>
      <c r="G126" s="70"/>
    </row>
    <row r="127" spans="5:7">
      <c r="E127" s="70"/>
      <c r="F127" s="70"/>
      <c r="G127" s="70"/>
    </row>
    <row r="169" spans="5:7">
      <c r="E169" s="65"/>
      <c r="F169" s="65"/>
      <c r="G169" s="65"/>
    </row>
    <row r="179" spans="5:7">
      <c r="E179" s="70"/>
      <c r="F179" s="70"/>
      <c r="G179" s="70"/>
    </row>
    <row r="236" spans="5:7">
      <c r="E236" s="65"/>
      <c r="F236" s="65"/>
      <c r="G236" s="65"/>
    </row>
    <row r="241" spans="5:7">
      <c r="E241" s="65"/>
      <c r="F241" s="65"/>
      <c r="G241" s="65"/>
    </row>
    <row r="243" spans="5:7">
      <c r="E243" s="65"/>
      <c r="F243" s="65"/>
      <c r="G243" s="65"/>
    </row>
    <row r="244" spans="5:7">
      <c r="E244" s="65"/>
      <c r="F244" s="65"/>
      <c r="G244" s="65"/>
    </row>
    <row r="253" spans="5:7" ht="15" customHeight="1">
      <c r="E253" s="70"/>
      <c r="F253" s="70"/>
      <c r="G253" s="70"/>
    </row>
    <row r="289" spans="5:7" ht="16.5" customHeight="1">
      <c r="E289" s="70"/>
      <c r="F289" s="70"/>
      <c r="G289" s="70"/>
    </row>
    <row r="321" spans="5:7">
      <c r="E321" s="65"/>
      <c r="F321" s="65"/>
      <c r="G321" s="65"/>
    </row>
    <row r="332" spans="5:7" ht="15.75" customHeight="1">
      <c r="E332" s="70"/>
      <c r="F332" s="70"/>
      <c r="G332" s="70"/>
    </row>
    <row r="346" spans="5:7">
      <c r="E346" s="65"/>
      <c r="F346" s="65"/>
      <c r="G346" s="65"/>
    </row>
    <row r="348" spans="5:7">
      <c r="E348" s="65"/>
      <c r="F348" s="65"/>
      <c r="G348" s="65"/>
    </row>
    <row r="350" spans="5:7">
      <c r="E350" s="65"/>
      <c r="F350" s="65"/>
      <c r="G350" s="65"/>
    </row>
    <row r="356" spans="5:7" ht="15.75" customHeight="1">
      <c r="E356" s="70"/>
      <c r="F356" s="70"/>
      <c r="G356" s="70"/>
    </row>
    <row r="382" spans="5:7" ht="15" customHeight="1">
      <c r="E382" s="70"/>
      <c r="F382" s="70"/>
      <c r="G382" s="70"/>
    </row>
    <row r="389" spans="5:7">
      <c r="E389" s="65"/>
      <c r="F389" s="65"/>
      <c r="G389" s="65"/>
    </row>
    <row r="392" spans="5:7">
      <c r="E392" s="65"/>
      <c r="F392" s="65"/>
      <c r="G392" s="65"/>
    </row>
    <row r="445" spans="5:10">
      <c r="J445" s="65"/>
    </row>
    <row r="447" spans="5:10" ht="17.25" customHeight="1">
      <c r="E447" s="70"/>
      <c r="F447" s="70"/>
      <c r="G447" s="70"/>
    </row>
    <row r="464" spans="5:7" ht="15" customHeight="1">
      <c r="E464" s="70"/>
      <c r="F464" s="70"/>
      <c r="G464" s="70"/>
    </row>
  </sheetData>
  <autoFilter ref="A3:O399"/>
  <phoneticPr fontId="8"/>
  <conditionalFormatting sqref="A3:O1048576">
    <cfRule type="expression" dxfId="5" priority="10">
      <formula>CELL("row")=ROW()</formula>
    </cfRule>
  </conditionalFormatting>
  <pageMargins left="1" right="1" top="1" bottom="1" header="0.5" footer="0.5"/>
  <pageSetup paperSize="9" scale="90" orientation="portrait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丸健データ転送前読込">
                <anchor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1</xdr:col>
                    <xdr:colOff>723900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丸健転送処理">
                <anchor>
                  <from>
                    <xdr:col>7</xdr:col>
                    <xdr:colOff>495300</xdr:colOff>
                    <xdr:row>0</xdr:row>
                    <xdr:rowOff>57150</xdr:rowOff>
                  </from>
                  <to>
                    <xdr:col>8</xdr:col>
                    <xdr:colOff>371475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O464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12.625" style="5" bestFit="1" customWidth="1"/>
    <col min="2" max="2" width="11.625" style="5" bestFit="1" customWidth="1"/>
    <col min="3" max="3" width="9.25" style="6" customWidth="1"/>
    <col min="4" max="4" width="16.625" style="2" bestFit="1" customWidth="1"/>
    <col min="5" max="5" width="13" style="2" bestFit="1" customWidth="1"/>
    <col min="6" max="6" width="10.25" style="2" customWidth="1"/>
    <col min="7" max="7" width="32.875" style="2" bestFit="1" customWidth="1"/>
    <col min="8" max="8" width="16.25" style="2" bestFit="1" customWidth="1"/>
    <col min="9" max="9" width="7.125" style="2" customWidth="1"/>
    <col min="10" max="10" width="9.875" style="2" customWidth="1"/>
    <col min="11" max="11" width="9.25" style="2" bestFit="1" customWidth="1"/>
    <col min="12" max="12" width="11.625" style="2" bestFit="1" customWidth="1"/>
    <col min="13" max="15" width="9.25" style="2" customWidth="1"/>
  </cols>
  <sheetData>
    <row r="1" spans="1:15" ht="24.75" customHeight="1">
      <c r="A1" s="7"/>
      <c r="B1" s="7"/>
      <c r="C1" s="83" t="s">
        <v>1205</v>
      </c>
      <c r="D1" s="8"/>
      <c r="E1" s="4"/>
      <c r="F1" s="4"/>
      <c r="G1" s="4"/>
      <c r="H1" s="4"/>
      <c r="I1" s="4"/>
      <c r="J1"/>
      <c r="K1"/>
      <c r="L1" s="76"/>
      <c r="M1"/>
      <c r="N1"/>
      <c r="O1"/>
    </row>
    <row r="2" spans="1:15">
      <c r="A2"/>
      <c r="B2"/>
      <c r="C2" s="82"/>
      <c r="D2"/>
      <c r="E2"/>
      <c r="F2"/>
      <c r="G2"/>
      <c r="H2" s="76"/>
      <c r="I2"/>
      <c r="J2"/>
      <c r="K2"/>
      <c r="L2" s="76"/>
      <c r="M2"/>
      <c r="N2"/>
      <c r="O2"/>
    </row>
    <row r="3" spans="1:15">
      <c r="A3" s="73" t="s">
        <v>1973</v>
      </c>
      <c r="B3" s="73" t="s">
        <v>1978</v>
      </c>
      <c r="C3" s="80" t="s">
        <v>1979</v>
      </c>
      <c r="D3" s="74" t="s">
        <v>1980</v>
      </c>
      <c r="E3" s="74" t="s">
        <v>1203</v>
      </c>
      <c r="F3" s="74" t="s">
        <v>1954</v>
      </c>
      <c r="G3" s="74" t="s">
        <v>1974</v>
      </c>
      <c r="H3" s="74" t="s">
        <v>1956</v>
      </c>
      <c r="I3" s="74" t="s">
        <v>1964</v>
      </c>
      <c r="J3" s="74" t="s">
        <v>1966</v>
      </c>
      <c r="K3" s="74" t="s">
        <v>1975</v>
      </c>
      <c r="L3" s="74" t="s">
        <v>1957</v>
      </c>
      <c r="M3" s="74" t="s">
        <v>1967</v>
      </c>
      <c r="N3" s="74" t="s">
        <v>1981</v>
      </c>
      <c r="O3" s="74" t="s">
        <v>1982</v>
      </c>
    </row>
    <row r="9" spans="1:15">
      <c r="E9" s="65"/>
      <c r="F9" s="65"/>
      <c r="G9" s="65"/>
    </row>
    <row r="13" spans="1:15">
      <c r="E13" s="70"/>
      <c r="F13" s="70"/>
      <c r="G13" s="70"/>
    </row>
    <row r="14" spans="1:15">
      <c r="E14" s="70"/>
      <c r="F14" s="70"/>
      <c r="G14" s="70"/>
    </row>
    <row r="34" spans="5:7">
      <c r="E34" s="65"/>
      <c r="F34" s="65"/>
      <c r="G34" s="65"/>
    </row>
    <row r="52" spans="3:12">
      <c r="E52" s="65"/>
      <c r="F52" s="65"/>
      <c r="G52" s="65"/>
    </row>
    <row r="54" spans="3:12">
      <c r="C54" s="84"/>
      <c r="D54" s="65"/>
      <c r="E54" s="65"/>
      <c r="F54" s="65"/>
      <c r="G54" s="65"/>
      <c r="H54" s="65"/>
      <c r="I54" s="65"/>
      <c r="J54" s="65"/>
      <c r="K54" s="65"/>
      <c r="L54" s="65"/>
    </row>
    <row r="78" spans="5:10">
      <c r="J78" s="65"/>
    </row>
    <row r="79" spans="5:10">
      <c r="E79" s="65"/>
      <c r="F79" s="65"/>
      <c r="G79" s="65"/>
    </row>
    <row r="81" spans="3:12">
      <c r="E81" s="65"/>
      <c r="F81" s="65"/>
      <c r="G81" s="65"/>
    </row>
    <row r="82" spans="3:12">
      <c r="E82" s="65"/>
      <c r="F82" s="65"/>
      <c r="G82" s="65"/>
    </row>
    <row r="84" spans="3:12">
      <c r="E84" s="65"/>
      <c r="F84" s="65"/>
      <c r="G84" s="65"/>
    </row>
    <row r="85" spans="3:12">
      <c r="E85" s="65"/>
      <c r="F85" s="65"/>
      <c r="G85" s="65"/>
    </row>
    <row r="94" spans="3:12">
      <c r="C94" s="84"/>
      <c r="D94" s="65"/>
      <c r="E94" s="65"/>
      <c r="F94" s="65"/>
      <c r="G94" s="65"/>
      <c r="H94" s="65"/>
      <c r="I94" s="65"/>
      <c r="J94" s="65"/>
      <c r="K94" s="65"/>
      <c r="L94" s="65"/>
    </row>
    <row r="95" spans="3:12">
      <c r="E95" s="70"/>
      <c r="F95" s="70"/>
      <c r="G95" s="70"/>
    </row>
    <row r="109" spans="5:7">
      <c r="E109" s="70"/>
      <c r="F109" s="70"/>
      <c r="G109" s="70"/>
    </row>
    <row r="110" spans="5:7">
      <c r="E110" s="70"/>
      <c r="F110" s="70"/>
      <c r="G110" s="70"/>
    </row>
    <row r="111" spans="5:7">
      <c r="E111" s="70"/>
      <c r="F111" s="70"/>
      <c r="G111" s="70"/>
    </row>
    <row r="112" spans="5:7">
      <c r="E112" s="70"/>
      <c r="F112" s="70"/>
      <c r="G112" s="70"/>
    </row>
    <row r="123" spans="5:7">
      <c r="E123" s="70"/>
      <c r="F123" s="70"/>
      <c r="G123" s="70"/>
    </row>
    <row r="125" spans="5:7">
      <c r="E125" s="70"/>
      <c r="F125" s="70"/>
      <c r="G125" s="70"/>
    </row>
    <row r="126" spans="5:7">
      <c r="E126" s="70"/>
      <c r="F126" s="70"/>
      <c r="G126" s="70"/>
    </row>
    <row r="127" spans="5:7">
      <c r="E127" s="70"/>
      <c r="F127" s="70"/>
      <c r="G127" s="70"/>
    </row>
    <row r="169" spans="5:7">
      <c r="E169" s="65"/>
      <c r="F169" s="65"/>
      <c r="G169" s="65"/>
    </row>
    <row r="179" spans="5:7">
      <c r="E179" s="70"/>
      <c r="F179" s="70"/>
      <c r="G179" s="70"/>
    </row>
    <row r="236" spans="5:7">
      <c r="E236" s="65"/>
      <c r="F236" s="65"/>
      <c r="G236" s="65"/>
    </row>
    <row r="241" spans="5:7">
      <c r="E241" s="65"/>
      <c r="F241" s="65"/>
      <c r="G241" s="65"/>
    </row>
    <row r="243" spans="5:7">
      <c r="E243" s="65"/>
      <c r="F243" s="65"/>
      <c r="G243" s="65"/>
    </row>
    <row r="244" spans="5:7">
      <c r="E244" s="65"/>
      <c r="F244" s="65"/>
      <c r="G244" s="65"/>
    </row>
    <row r="253" spans="5:7" ht="15" customHeight="1">
      <c r="E253" s="70"/>
      <c r="F253" s="70"/>
      <c r="G253" s="70"/>
    </row>
    <row r="289" spans="5:7" ht="16.5" customHeight="1">
      <c r="E289" s="70"/>
      <c r="F289" s="70"/>
      <c r="G289" s="70"/>
    </row>
    <row r="321" spans="5:7">
      <c r="E321" s="65"/>
      <c r="F321" s="65"/>
      <c r="G321" s="65"/>
    </row>
    <row r="332" spans="5:7" ht="15.75" customHeight="1">
      <c r="E332" s="70"/>
      <c r="F332" s="70"/>
      <c r="G332" s="70"/>
    </row>
    <row r="346" spans="5:7">
      <c r="E346" s="65"/>
      <c r="F346" s="65"/>
      <c r="G346" s="65"/>
    </row>
    <row r="348" spans="5:7">
      <c r="E348" s="65"/>
      <c r="F348" s="65"/>
      <c r="G348" s="65"/>
    </row>
    <row r="350" spans="5:7">
      <c r="E350" s="65"/>
      <c r="F350" s="65"/>
      <c r="G350" s="65"/>
    </row>
    <row r="356" spans="5:7" ht="15.75" customHeight="1">
      <c r="E356" s="70"/>
      <c r="F356" s="70"/>
      <c r="G356" s="70"/>
    </row>
    <row r="382" spans="5:7" ht="15" customHeight="1">
      <c r="E382" s="70"/>
      <c r="F382" s="70"/>
      <c r="G382" s="70"/>
    </row>
    <row r="389" spans="5:7">
      <c r="E389" s="65"/>
      <c r="F389" s="65"/>
      <c r="G389" s="65"/>
    </row>
    <row r="392" spans="5:7">
      <c r="E392" s="65"/>
      <c r="F392" s="65"/>
      <c r="G392" s="65"/>
    </row>
    <row r="445" spans="5:10">
      <c r="J445" s="65"/>
    </row>
    <row r="447" spans="5:10" ht="17.25" customHeight="1">
      <c r="E447" s="70"/>
      <c r="F447" s="70"/>
      <c r="G447" s="70"/>
    </row>
    <row r="464" spans="5:7" ht="15" customHeight="1">
      <c r="E464" s="70"/>
      <c r="F464" s="70"/>
      <c r="G464" s="70"/>
    </row>
  </sheetData>
  <autoFilter ref="A3:O5"/>
  <phoneticPr fontId="8"/>
  <conditionalFormatting sqref="G1 E3:G1048576">
    <cfRule type="expression" dxfId="4" priority="1">
      <formula>COUNTIF(出荷店舗リスト,E1)</formula>
    </cfRule>
  </conditionalFormatting>
  <conditionalFormatting sqref="C3:C1048576">
    <cfRule type="expression" dxfId="3" priority="2">
      <formula>#REF!=1</formula>
    </cfRule>
  </conditionalFormatting>
  <conditionalFormatting sqref="A3:O1048576">
    <cfRule type="expression" dxfId="2" priority="4">
      <formula>CELL("row")=ROW()</formula>
    </cfRule>
  </conditionalFormatting>
  <pageMargins left="1" right="1" top="1" bottom="1" header="0.5" footer="0.5"/>
  <pageSetup paperSize="9" scale="90" orientation="landscape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マツモトデータ転送前読込">
                <anchor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1</xdr:col>
                    <xdr:colOff>723900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マツモト転送処理">
                <anchor>
                  <from>
                    <xdr:col>7</xdr:col>
                    <xdr:colOff>495300</xdr:colOff>
                    <xdr:row>0</xdr:row>
                    <xdr:rowOff>57150</xdr:rowOff>
                  </from>
                  <to>
                    <xdr:col>9</xdr:col>
                    <xdr:colOff>228600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O464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12.625" style="5" bestFit="1" customWidth="1"/>
    <col min="2" max="2" width="11.625" style="5" bestFit="1" customWidth="1"/>
    <col min="3" max="3" width="9.25" style="6" customWidth="1"/>
    <col min="4" max="4" width="16.625" style="2" bestFit="1" customWidth="1"/>
    <col min="5" max="5" width="13" style="2" bestFit="1" customWidth="1"/>
    <col min="6" max="6" width="10.25" style="2" customWidth="1"/>
    <col min="7" max="7" width="32.875" style="2" bestFit="1" customWidth="1"/>
    <col min="8" max="8" width="16.25" style="2" bestFit="1" customWidth="1"/>
    <col min="9" max="9" width="7.125" style="2" customWidth="1"/>
    <col min="10" max="10" width="9.875" style="2" customWidth="1"/>
    <col min="11" max="11" width="9.25" style="2" bestFit="1" customWidth="1"/>
    <col min="12" max="12" width="11.625" style="2" bestFit="1" customWidth="1"/>
    <col min="13" max="15" width="9.25" style="2" customWidth="1"/>
  </cols>
  <sheetData>
    <row r="1" spans="1:15" ht="24.75" customHeight="1">
      <c r="A1" s="7"/>
      <c r="B1" s="7"/>
      <c r="C1" s="83" t="s">
        <v>1205</v>
      </c>
      <c r="D1" s="8"/>
      <c r="E1" s="4"/>
      <c r="F1" s="4"/>
      <c r="G1" s="4"/>
      <c r="H1" s="4"/>
      <c r="I1" s="4"/>
      <c r="J1"/>
      <c r="K1"/>
      <c r="L1" s="76"/>
      <c r="M1"/>
      <c r="N1"/>
      <c r="O1"/>
    </row>
    <row r="2" spans="1:15">
      <c r="A2"/>
      <c r="B2"/>
      <c r="C2" s="82"/>
      <c r="D2"/>
      <c r="E2"/>
      <c r="F2"/>
      <c r="G2"/>
      <c r="H2" s="76"/>
      <c r="I2"/>
      <c r="J2"/>
      <c r="K2"/>
      <c r="L2" s="76"/>
      <c r="M2"/>
      <c r="N2"/>
      <c r="O2"/>
    </row>
    <row r="3" spans="1:15">
      <c r="A3" s="73" t="s">
        <v>1973</v>
      </c>
      <c r="B3" s="73" t="s">
        <v>1978</v>
      </c>
      <c r="C3" s="80" t="s">
        <v>1979</v>
      </c>
      <c r="D3" s="74" t="s">
        <v>1980</v>
      </c>
      <c r="E3" s="74" t="s">
        <v>1203</v>
      </c>
      <c r="F3" s="74" t="s">
        <v>1954</v>
      </c>
      <c r="G3" s="74" t="s">
        <v>1974</v>
      </c>
      <c r="H3" s="74" t="s">
        <v>1956</v>
      </c>
      <c r="I3" s="74" t="s">
        <v>1964</v>
      </c>
      <c r="J3" s="74" t="s">
        <v>1966</v>
      </c>
      <c r="K3" s="74" t="s">
        <v>1975</v>
      </c>
      <c r="L3" s="74" t="s">
        <v>1957</v>
      </c>
      <c r="M3" s="74" t="s">
        <v>1967</v>
      </c>
      <c r="N3" s="74" t="s">
        <v>1981</v>
      </c>
      <c r="O3" s="74" t="s">
        <v>1982</v>
      </c>
    </row>
    <row r="9" spans="1:15">
      <c r="E9" s="65"/>
      <c r="F9" s="65"/>
      <c r="G9" s="65"/>
    </row>
    <row r="13" spans="1:15">
      <c r="E13" s="70"/>
      <c r="F13" s="70"/>
      <c r="G13" s="70"/>
    </row>
    <row r="14" spans="1:15">
      <c r="E14" s="70"/>
      <c r="F14" s="70"/>
      <c r="G14" s="70"/>
    </row>
    <row r="34" spans="5:7">
      <c r="E34" s="65"/>
      <c r="F34" s="65"/>
      <c r="G34" s="65"/>
    </row>
    <row r="52" spans="3:12">
      <c r="E52" s="65"/>
      <c r="F52" s="65"/>
      <c r="G52" s="65"/>
    </row>
    <row r="54" spans="3:12">
      <c r="C54" s="84"/>
      <c r="D54" s="65"/>
      <c r="E54" s="65"/>
      <c r="F54" s="65"/>
      <c r="G54" s="65"/>
      <c r="H54" s="65"/>
      <c r="I54" s="65"/>
      <c r="J54" s="65"/>
      <c r="K54" s="65"/>
      <c r="L54" s="65"/>
    </row>
    <row r="78" spans="5:10">
      <c r="J78" s="65"/>
    </row>
    <row r="79" spans="5:10">
      <c r="E79" s="65"/>
      <c r="F79" s="65"/>
      <c r="G79" s="65"/>
    </row>
    <row r="81" spans="3:12">
      <c r="E81" s="65"/>
      <c r="F81" s="65"/>
      <c r="G81" s="65"/>
    </row>
    <row r="82" spans="3:12">
      <c r="E82" s="65"/>
      <c r="F82" s="65"/>
      <c r="G82" s="65"/>
    </row>
    <row r="84" spans="3:12">
      <c r="E84" s="65"/>
      <c r="F84" s="65"/>
      <c r="G84" s="65"/>
    </row>
    <row r="85" spans="3:12">
      <c r="E85" s="65"/>
      <c r="F85" s="65"/>
      <c r="G85" s="65"/>
    </row>
    <row r="94" spans="3:12">
      <c r="C94" s="84"/>
      <c r="D94" s="65"/>
      <c r="E94" s="65"/>
      <c r="F94" s="65"/>
      <c r="G94" s="65"/>
      <c r="H94" s="65"/>
      <c r="I94" s="65"/>
      <c r="J94" s="65"/>
      <c r="K94" s="65"/>
      <c r="L94" s="65"/>
    </row>
    <row r="95" spans="3:12">
      <c r="E95" s="70"/>
      <c r="F95" s="70"/>
      <c r="G95" s="70"/>
    </row>
    <row r="109" spans="5:7">
      <c r="E109" s="70"/>
      <c r="F109" s="70"/>
      <c r="G109" s="70"/>
    </row>
    <row r="110" spans="5:7">
      <c r="E110" s="70"/>
      <c r="F110" s="70"/>
      <c r="G110" s="70"/>
    </row>
    <row r="111" spans="5:7">
      <c r="E111" s="70"/>
      <c r="F111" s="70"/>
      <c r="G111" s="70"/>
    </row>
    <row r="112" spans="5:7">
      <c r="E112" s="70"/>
      <c r="F112" s="70"/>
      <c r="G112" s="70"/>
    </row>
    <row r="123" spans="5:7">
      <c r="E123" s="70"/>
      <c r="F123" s="70"/>
      <c r="G123" s="70"/>
    </row>
    <row r="125" spans="5:7">
      <c r="E125" s="70"/>
      <c r="F125" s="70"/>
      <c r="G125" s="70"/>
    </row>
    <row r="126" spans="5:7">
      <c r="E126" s="70"/>
      <c r="F126" s="70"/>
      <c r="G126" s="70"/>
    </row>
    <row r="127" spans="5:7">
      <c r="E127" s="70"/>
      <c r="F127" s="70"/>
      <c r="G127" s="70"/>
    </row>
    <row r="169" spans="5:7">
      <c r="E169" s="65"/>
      <c r="F169" s="65"/>
      <c r="G169" s="65"/>
    </row>
    <row r="179" spans="5:7">
      <c r="E179" s="70"/>
      <c r="F179" s="70"/>
      <c r="G179" s="70"/>
    </row>
    <row r="236" spans="5:7">
      <c r="E236" s="65"/>
      <c r="F236" s="65"/>
      <c r="G236" s="65"/>
    </row>
    <row r="241" spans="5:7">
      <c r="E241" s="65"/>
      <c r="F241" s="65"/>
      <c r="G241" s="65"/>
    </row>
    <row r="243" spans="5:7">
      <c r="E243" s="65"/>
      <c r="F243" s="65"/>
      <c r="G243" s="65"/>
    </row>
    <row r="244" spans="5:7">
      <c r="E244" s="65"/>
      <c r="F244" s="65"/>
      <c r="G244" s="65"/>
    </row>
    <row r="253" spans="5:7" ht="15" customHeight="1">
      <c r="E253" s="70"/>
      <c r="F253" s="70"/>
      <c r="G253" s="70"/>
    </row>
    <row r="289" spans="5:7" ht="16.5" customHeight="1">
      <c r="E289" s="70"/>
      <c r="F289" s="70"/>
      <c r="G289" s="70"/>
    </row>
    <row r="321" spans="5:7">
      <c r="E321" s="65"/>
      <c r="F321" s="65"/>
      <c r="G321" s="65"/>
    </row>
    <row r="332" spans="5:7" ht="15.75" customHeight="1">
      <c r="E332" s="70"/>
      <c r="F332" s="70"/>
      <c r="G332" s="70"/>
    </row>
    <row r="346" spans="5:7">
      <c r="E346" s="65"/>
      <c r="F346" s="65"/>
      <c r="G346" s="65"/>
    </row>
    <row r="348" spans="5:7">
      <c r="E348" s="65"/>
      <c r="F348" s="65"/>
      <c r="G348" s="65"/>
    </row>
    <row r="350" spans="5:7">
      <c r="E350" s="65"/>
      <c r="F350" s="65"/>
      <c r="G350" s="65"/>
    </row>
    <row r="356" spans="5:7" ht="15.75" customHeight="1">
      <c r="E356" s="70"/>
      <c r="F356" s="70"/>
      <c r="G356" s="70"/>
    </row>
    <row r="382" spans="5:7" ht="15" customHeight="1">
      <c r="E382" s="70"/>
      <c r="F382" s="70"/>
      <c r="G382" s="70"/>
    </row>
    <row r="389" spans="5:7">
      <c r="E389" s="65"/>
      <c r="F389" s="65"/>
      <c r="G389" s="65"/>
    </row>
    <row r="392" spans="5:7">
      <c r="E392" s="65"/>
      <c r="F392" s="65"/>
      <c r="G392" s="65"/>
    </row>
    <row r="445" spans="5:10">
      <c r="J445" s="65"/>
    </row>
    <row r="447" spans="5:10" ht="17.25" customHeight="1">
      <c r="E447" s="70"/>
      <c r="F447" s="70"/>
      <c r="G447" s="70"/>
    </row>
    <row r="464" spans="5:7" ht="15" customHeight="1">
      <c r="E464" s="70"/>
      <c r="F464" s="70"/>
      <c r="G464" s="70"/>
    </row>
  </sheetData>
  <autoFilter ref="A3:O5"/>
  <phoneticPr fontId="8"/>
  <conditionalFormatting sqref="A3:O1048576">
    <cfRule type="expression" dxfId="1" priority="4">
      <formula>CELL("row")=ROW()</formula>
    </cfRule>
  </conditionalFormatting>
  <pageMargins left="0.25" right="0.25" top="0.75" bottom="0.75" header="0.3" footer="0.3"/>
  <pageSetup paperSize="9" orientation="landscape" horizontalDpi="300" verticalDpi="300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MKLデータ転送前読込">
                <anchor>
                  <from>
                    <xdr:col>0</xdr:col>
                    <xdr:colOff>104775</xdr:colOff>
                    <xdr:row>0</xdr:row>
                    <xdr:rowOff>57150</xdr:rowOff>
                  </from>
                  <to>
                    <xdr:col>1</xdr:col>
                    <xdr:colOff>723900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MKL転送処理">
                <anchor>
                  <from>
                    <xdr:col>7</xdr:col>
                    <xdr:colOff>495300</xdr:colOff>
                    <xdr:row>0</xdr:row>
                    <xdr:rowOff>57150</xdr:rowOff>
                  </from>
                  <to>
                    <xdr:col>9</xdr:col>
                    <xdr:colOff>228600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06"/>
  <sheetViews>
    <sheetView workbookViewId="0"/>
  </sheetViews>
  <sheetFormatPr defaultRowHeight="13.5"/>
  <cols>
    <col min="1" max="1" width="9.875" bestFit="1" customWidth="1"/>
    <col min="2" max="2" width="10.125" bestFit="1" customWidth="1"/>
    <col min="3" max="3" width="11.875" bestFit="1" customWidth="1"/>
    <col min="4" max="4" width="32.875" bestFit="1" customWidth="1"/>
    <col min="5" max="5" width="16.5" bestFit="1" customWidth="1"/>
    <col min="6" max="6" width="11.625" bestFit="1" customWidth="1"/>
    <col min="7" max="7" width="7" style="112" bestFit="1" customWidth="1"/>
    <col min="8" max="8" width="8" style="112" bestFit="1" customWidth="1"/>
    <col min="9" max="9" width="9.875" bestFit="1" customWidth="1"/>
    <col min="10" max="11" width="15" style="113" bestFit="1" customWidth="1"/>
    <col min="12" max="12" width="7.5" bestFit="1" customWidth="1"/>
    <col min="13" max="13" width="9" bestFit="1" customWidth="1"/>
    <col min="14" max="14" width="5.25" bestFit="1" customWidth="1"/>
    <col min="15" max="16" width="9.375" bestFit="1" customWidth="1"/>
  </cols>
  <sheetData>
    <row r="1" spans="1:16">
      <c r="A1" t="s">
        <v>1952</v>
      </c>
      <c r="B1" t="s">
        <v>1953</v>
      </c>
      <c r="C1" t="s">
        <v>1954</v>
      </c>
      <c r="D1" t="s">
        <v>1955</v>
      </c>
      <c r="E1" t="s">
        <v>1956</v>
      </c>
      <c r="F1" t="s">
        <v>1957</v>
      </c>
      <c r="G1" s="112" t="s">
        <v>1958</v>
      </c>
      <c r="H1" s="112" t="s">
        <v>1959</v>
      </c>
      <c r="I1" t="s">
        <v>1206</v>
      </c>
      <c r="J1" s="113" t="s">
        <v>1960</v>
      </c>
      <c r="K1" s="113" t="s">
        <v>2434</v>
      </c>
      <c r="L1" t="s">
        <v>2435</v>
      </c>
      <c r="M1" t="s">
        <v>1961</v>
      </c>
      <c r="N1" t="s">
        <v>1962</v>
      </c>
      <c r="O1" t="s">
        <v>1963</v>
      </c>
    </row>
    <row r="2" spans="1:16">
      <c r="A2">
        <v>100004</v>
      </c>
      <c r="B2" t="s">
        <v>1850</v>
      </c>
      <c r="C2" t="s">
        <v>2423</v>
      </c>
      <c r="D2" t="s">
        <v>0</v>
      </c>
      <c r="E2" t="s">
        <v>1214</v>
      </c>
      <c r="F2" t="s">
        <v>1201</v>
      </c>
      <c r="G2" s="112">
        <v>100</v>
      </c>
      <c r="H2" s="112">
        <v>101</v>
      </c>
      <c r="I2">
        <v>20378035</v>
      </c>
      <c r="J2" s="113">
        <v>2100203780353</v>
      </c>
      <c r="K2" s="113">
        <v>2100203780353</v>
      </c>
      <c r="L2">
        <v>66</v>
      </c>
      <c r="M2">
        <v>20</v>
      </c>
      <c r="N2" t="s">
        <v>1851</v>
      </c>
      <c r="O2">
        <v>1</v>
      </c>
      <c r="P2" s="112">
        <f>G2/M2</f>
        <v>5</v>
      </c>
    </row>
    <row r="3" spans="1:16">
      <c r="A3">
        <v>100005</v>
      </c>
      <c r="B3" t="s">
        <v>1850</v>
      </c>
      <c r="C3" t="s">
        <v>2423</v>
      </c>
      <c r="D3" t="s">
        <v>1</v>
      </c>
      <c r="E3" t="s">
        <v>1795</v>
      </c>
      <c r="F3" t="s">
        <v>1201</v>
      </c>
      <c r="G3" s="112">
        <v>100</v>
      </c>
      <c r="H3" s="112">
        <v>101</v>
      </c>
      <c r="I3">
        <v>20388140</v>
      </c>
      <c r="J3" s="113">
        <v>2100203881401</v>
      </c>
      <c r="K3" s="113">
        <v>2100203881401</v>
      </c>
      <c r="L3">
        <v>66</v>
      </c>
      <c r="M3">
        <v>20</v>
      </c>
      <c r="N3" t="s">
        <v>1851</v>
      </c>
      <c r="O3">
        <v>1</v>
      </c>
      <c r="P3" s="112">
        <f t="shared" ref="P3:P66" si="0">G3/M3</f>
        <v>5</v>
      </c>
    </row>
    <row r="4" spans="1:16">
      <c r="A4">
        <v>100006</v>
      </c>
      <c r="B4" t="s">
        <v>1850</v>
      </c>
      <c r="C4" t="s">
        <v>2423</v>
      </c>
      <c r="D4" t="s">
        <v>2</v>
      </c>
      <c r="E4" t="s">
        <v>1852</v>
      </c>
      <c r="F4" t="s">
        <v>1201</v>
      </c>
      <c r="G4" s="112">
        <v>100</v>
      </c>
      <c r="H4" s="112">
        <v>101</v>
      </c>
      <c r="I4">
        <v>20388645</v>
      </c>
      <c r="J4" s="113">
        <v>2100203886451</v>
      </c>
      <c r="K4" s="113">
        <v>2100203886451</v>
      </c>
      <c r="L4">
        <v>66</v>
      </c>
      <c r="M4">
        <v>20</v>
      </c>
      <c r="N4" t="s">
        <v>1851</v>
      </c>
      <c r="O4">
        <v>1</v>
      </c>
      <c r="P4" s="112">
        <f t="shared" si="0"/>
        <v>5</v>
      </c>
    </row>
    <row r="5" spans="1:16">
      <c r="A5">
        <v>100007</v>
      </c>
      <c r="B5" t="s">
        <v>1850</v>
      </c>
      <c r="C5" t="s">
        <v>2423</v>
      </c>
      <c r="D5" t="s">
        <v>1835</v>
      </c>
      <c r="E5" t="s">
        <v>1836</v>
      </c>
      <c r="F5" t="s">
        <v>1201</v>
      </c>
      <c r="G5" s="112">
        <v>100</v>
      </c>
      <c r="H5" s="112">
        <v>101</v>
      </c>
      <c r="I5">
        <v>20378714</v>
      </c>
      <c r="J5" s="113">
        <v>2100203787147</v>
      </c>
      <c r="K5" s="113">
        <v>2100203787147</v>
      </c>
      <c r="L5">
        <v>50</v>
      </c>
      <c r="M5">
        <v>25</v>
      </c>
      <c r="N5" t="s">
        <v>1851</v>
      </c>
      <c r="O5">
        <v>1</v>
      </c>
      <c r="P5" s="112">
        <f t="shared" si="0"/>
        <v>4</v>
      </c>
    </row>
    <row r="6" spans="1:16">
      <c r="A6">
        <v>100008</v>
      </c>
      <c r="B6" t="s">
        <v>1850</v>
      </c>
      <c r="C6" t="s">
        <v>2423</v>
      </c>
      <c r="D6" t="s">
        <v>3</v>
      </c>
      <c r="E6" t="s">
        <v>1836</v>
      </c>
      <c r="F6" t="s">
        <v>1201</v>
      </c>
      <c r="G6" s="112">
        <v>100</v>
      </c>
      <c r="H6" s="112">
        <v>101</v>
      </c>
      <c r="I6">
        <v>20378721</v>
      </c>
      <c r="J6" s="113">
        <v>2100203787215</v>
      </c>
      <c r="K6" s="113">
        <v>2100203787215</v>
      </c>
      <c r="L6">
        <v>50</v>
      </c>
      <c r="M6">
        <v>25</v>
      </c>
      <c r="N6" t="s">
        <v>1851</v>
      </c>
      <c r="O6">
        <v>1</v>
      </c>
      <c r="P6" s="112">
        <f t="shared" si="0"/>
        <v>4</v>
      </c>
    </row>
    <row r="7" spans="1:16">
      <c r="A7">
        <v>100009</v>
      </c>
      <c r="B7" t="s">
        <v>1850</v>
      </c>
      <c r="C7" t="s">
        <v>2423</v>
      </c>
      <c r="D7" t="s">
        <v>4</v>
      </c>
      <c r="E7" t="s">
        <v>1842</v>
      </c>
      <c r="F7" t="s">
        <v>1201</v>
      </c>
      <c r="G7" s="112">
        <v>100</v>
      </c>
      <c r="H7" s="112">
        <v>101</v>
      </c>
      <c r="I7">
        <v>25036183</v>
      </c>
      <c r="J7" s="113">
        <v>4975160101620</v>
      </c>
      <c r="L7">
        <v>60</v>
      </c>
      <c r="M7">
        <v>18</v>
      </c>
      <c r="N7" t="s">
        <v>1851</v>
      </c>
      <c r="O7">
        <v>1</v>
      </c>
      <c r="P7" s="112">
        <f t="shared" si="0"/>
        <v>5.5555555555555554</v>
      </c>
    </row>
    <row r="8" spans="1:16">
      <c r="A8">
        <v>100010</v>
      </c>
      <c r="B8" t="s">
        <v>1850</v>
      </c>
      <c r="C8" t="s">
        <v>2423</v>
      </c>
      <c r="D8" t="s">
        <v>1849</v>
      </c>
      <c r="E8" t="s">
        <v>1842</v>
      </c>
      <c r="F8" t="s">
        <v>1201</v>
      </c>
      <c r="G8" s="112">
        <v>100</v>
      </c>
      <c r="H8" s="112">
        <v>101</v>
      </c>
      <c r="I8">
        <v>25036176</v>
      </c>
      <c r="J8" s="113">
        <v>4975160101613</v>
      </c>
      <c r="L8">
        <v>60</v>
      </c>
      <c r="M8">
        <v>18</v>
      </c>
      <c r="N8" t="s">
        <v>1851</v>
      </c>
      <c r="O8">
        <v>1</v>
      </c>
      <c r="P8" s="112">
        <f t="shared" si="0"/>
        <v>5.5555555555555554</v>
      </c>
    </row>
    <row r="9" spans="1:16">
      <c r="A9">
        <v>100011</v>
      </c>
      <c r="B9" t="s">
        <v>1850</v>
      </c>
      <c r="C9" t="s">
        <v>2423</v>
      </c>
      <c r="D9" t="s">
        <v>1853</v>
      </c>
      <c r="E9" t="s">
        <v>1208</v>
      </c>
      <c r="F9" t="s">
        <v>1201</v>
      </c>
      <c r="G9" s="112">
        <v>100</v>
      </c>
      <c r="H9" s="112">
        <v>101</v>
      </c>
      <c r="I9">
        <v>50900008</v>
      </c>
      <c r="J9" s="113">
        <v>4531977003290</v>
      </c>
      <c r="L9">
        <v>66</v>
      </c>
      <c r="M9">
        <v>20</v>
      </c>
      <c r="N9" t="s">
        <v>1851</v>
      </c>
      <c r="O9">
        <v>1</v>
      </c>
      <c r="P9" s="112">
        <f t="shared" si="0"/>
        <v>5</v>
      </c>
    </row>
    <row r="10" spans="1:16">
      <c r="A10">
        <v>100012</v>
      </c>
      <c r="B10" t="s">
        <v>1850</v>
      </c>
      <c r="C10" t="s">
        <v>2423</v>
      </c>
      <c r="D10" t="s">
        <v>1854</v>
      </c>
      <c r="E10" t="s">
        <v>1208</v>
      </c>
      <c r="F10" t="s">
        <v>1201</v>
      </c>
      <c r="G10" s="112">
        <v>100</v>
      </c>
      <c r="H10" s="112">
        <v>101</v>
      </c>
      <c r="I10">
        <v>50900008</v>
      </c>
      <c r="J10" s="113">
        <v>4531977003306</v>
      </c>
      <c r="L10">
        <v>66</v>
      </c>
      <c r="M10">
        <v>20</v>
      </c>
      <c r="N10" t="s">
        <v>1851</v>
      </c>
      <c r="O10">
        <v>1</v>
      </c>
      <c r="P10" s="112">
        <f t="shared" si="0"/>
        <v>5</v>
      </c>
    </row>
    <row r="11" spans="1:16">
      <c r="A11">
        <v>100013</v>
      </c>
      <c r="B11" t="s">
        <v>1850</v>
      </c>
      <c r="C11" t="s">
        <v>2423</v>
      </c>
      <c r="D11" t="s">
        <v>1855</v>
      </c>
      <c r="E11" t="s">
        <v>1208</v>
      </c>
      <c r="F11" t="s">
        <v>1201</v>
      </c>
      <c r="G11" s="112">
        <v>100</v>
      </c>
      <c r="H11" s="112">
        <v>101</v>
      </c>
      <c r="I11">
        <v>20395896</v>
      </c>
      <c r="J11" s="113">
        <v>2100203958967</v>
      </c>
      <c r="K11" s="113">
        <v>2100203958967</v>
      </c>
      <c r="L11">
        <v>66</v>
      </c>
      <c r="M11">
        <v>20</v>
      </c>
      <c r="N11" t="s">
        <v>1851</v>
      </c>
      <c r="O11">
        <v>1</v>
      </c>
      <c r="P11" s="112">
        <f t="shared" si="0"/>
        <v>5</v>
      </c>
    </row>
    <row r="12" spans="1:16">
      <c r="A12">
        <v>100014</v>
      </c>
      <c r="B12" t="s">
        <v>1850</v>
      </c>
      <c r="C12" t="s">
        <v>2423</v>
      </c>
      <c r="D12" t="s">
        <v>1856</v>
      </c>
      <c r="E12" t="s">
        <v>1208</v>
      </c>
      <c r="F12" t="s">
        <v>1201</v>
      </c>
      <c r="G12" s="112">
        <v>100</v>
      </c>
      <c r="H12" s="112">
        <v>101</v>
      </c>
      <c r="I12">
        <v>20452421</v>
      </c>
      <c r="J12" s="113">
        <v>2100204524215</v>
      </c>
      <c r="K12" s="113">
        <v>2100204524215</v>
      </c>
      <c r="L12">
        <v>66</v>
      </c>
      <c r="M12">
        <v>20</v>
      </c>
      <c r="N12" t="s">
        <v>1851</v>
      </c>
      <c r="O12">
        <v>1</v>
      </c>
      <c r="P12" s="112">
        <f t="shared" si="0"/>
        <v>5</v>
      </c>
    </row>
    <row r="13" spans="1:16">
      <c r="A13">
        <v>100015</v>
      </c>
      <c r="B13" t="s">
        <v>1850</v>
      </c>
      <c r="C13" t="s">
        <v>2423</v>
      </c>
      <c r="D13" t="s">
        <v>1857</v>
      </c>
      <c r="E13" t="s">
        <v>1847</v>
      </c>
      <c r="F13" t="s">
        <v>1201</v>
      </c>
      <c r="G13" s="112">
        <v>100</v>
      </c>
      <c r="H13" s="112">
        <v>101</v>
      </c>
      <c r="I13">
        <v>50900008</v>
      </c>
      <c r="J13" s="113">
        <v>4573244730157</v>
      </c>
      <c r="L13">
        <v>1</v>
      </c>
      <c r="M13">
        <v>1200</v>
      </c>
      <c r="N13" t="s">
        <v>1851</v>
      </c>
      <c r="O13">
        <v>1</v>
      </c>
      <c r="P13" s="112">
        <f t="shared" si="0"/>
        <v>8.3333333333333329E-2</v>
      </c>
    </row>
    <row r="14" spans="1:16">
      <c r="A14">
        <v>100016</v>
      </c>
      <c r="B14" t="s">
        <v>1850</v>
      </c>
      <c r="C14" t="s">
        <v>2423</v>
      </c>
      <c r="D14" t="s">
        <v>1858</v>
      </c>
      <c r="E14" t="s">
        <v>1847</v>
      </c>
      <c r="F14" t="s">
        <v>1201</v>
      </c>
      <c r="G14" s="112">
        <v>100</v>
      </c>
      <c r="H14" s="112">
        <v>101</v>
      </c>
      <c r="I14">
        <v>50900008</v>
      </c>
      <c r="J14" s="113">
        <v>4573244730164</v>
      </c>
      <c r="L14">
        <v>1</v>
      </c>
      <c r="M14">
        <v>1200</v>
      </c>
      <c r="N14" t="s">
        <v>1851</v>
      </c>
      <c r="O14">
        <v>1</v>
      </c>
      <c r="P14" s="112">
        <f t="shared" si="0"/>
        <v>8.3333333333333329E-2</v>
      </c>
    </row>
    <row r="15" spans="1:16">
      <c r="A15">
        <v>100017</v>
      </c>
      <c r="B15" t="s">
        <v>1850</v>
      </c>
      <c r="C15" t="s">
        <v>2423</v>
      </c>
      <c r="D15" t="s">
        <v>1859</v>
      </c>
      <c r="E15" t="s">
        <v>1847</v>
      </c>
      <c r="F15" t="s">
        <v>1201</v>
      </c>
      <c r="G15" s="112">
        <v>100</v>
      </c>
      <c r="H15" s="112">
        <v>101</v>
      </c>
      <c r="I15">
        <v>50900008</v>
      </c>
      <c r="J15" s="113">
        <v>4573244730171</v>
      </c>
      <c r="L15">
        <v>1</v>
      </c>
      <c r="M15">
        <v>1200</v>
      </c>
      <c r="N15" t="s">
        <v>1851</v>
      </c>
      <c r="O15">
        <v>1</v>
      </c>
      <c r="P15" s="112">
        <f t="shared" si="0"/>
        <v>8.3333333333333329E-2</v>
      </c>
    </row>
    <row r="16" spans="1:16">
      <c r="A16">
        <v>100101</v>
      </c>
      <c r="B16" t="s">
        <v>1850</v>
      </c>
      <c r="C16" t="s">
        <v>2424</v>
      </c>
      <c r="D16" t="s">
        <v>1209</v>
      </c>
      <c r="E16" t="s">
        <v>1218</v>
      </c>
      <c r="F16" t="s">
        <v>1201</v>
      </c>
      <c r="G16" s="112">
        <v>100</v>
      </c>
      <c r="H16" s="112">
        <v>101</v>
      </c>
      <c r="I16">
        <v>20452438</v>
      </c>
      <c r="J16" s="113">
        <v>4573244730010</v>
      </c>
      <c r="K16" s="113">
        <v>2100204524383</v>
      </c>
      <c r="L16">
        <v>5</v>
      </c>
      <c r="N16" t="s">
        <v>1860</v>
      </c>
      <c r="O16">
        <v>0</v>
      </c>
      <c r="P16" s="112" t="e">
        <f t="shared" si="0"/>
        <v>#DIV/0!</v>
      </c>
    </row>
    <row r="17" spans="1:16">
      <c r="A17">
        <v>100102</v>
      </c>
      <c r="B17" t="s">
        <v>1850</v>
      </c>
      <c r="C17" t="s">
        <v>2424</v>
      </c>
      <c r="D17" t="s">
        <v>1210</v>
      </c>
      <c r="E17" t="s">
        <v>1801</v>
      </c>
      <c r="F17" t="s">
        <v>1201</v>
      </c>
      <c r="G17" s="112">
        <v>100</v>
      </c>
      <c r="H17" s="112">
        <v>101</v>
      </c>
      <c r="I17">
        <v>20452445</v>
      </c>
      <c r="J17" s="113">
        <v>4573244730027</v>
      </c>
      <c r="K17" s="113">
        <v>2100204524451</v>
      </c>
      <c r="L17">
        <v>5</v>
      </c>
      <c r="N17" t="s">
        <v>1860</v>
      </c>
      <c r="O17">
        <v>0</v>
      </c>
      <c r="P17" s="112" t="e">
        <f t="shared" si="0"/>
        <v>#DIV/0!</v>
      </c>
    </row>
    <row r="18" spans="1:16">
      <c r="A18">
        <v>100103</v>
      </c>
      <c r="B18" t="s">
        <v>1850</v>
      </c>
      <c r="C18" t="s">
        <v>2424</v>
      </c>
      <c r="D18" t="s">
        <v>1803</v>
      </c>
      <c r="E18" t="s">
        <v>1806</v>
      </c>
      <c r="F18" t="s">
        <v>1201</v>
      </c>
      <c r="G18" s="112">
        <v>100</v>
      </c>
      <c r="H18" s="112">
        <v>101</v>
      </c>
      <c r="I18">
        <v>20452452</v>
      </c>
      <c r="J18" s="113">
        <v>4573244730034</v>
      </c>
      <c r="K18" s="113">
        <v>2100204524529</v>
      </c>
      <c r="L18">
        <v>5</v>
      </c>
      <c r="N18" t="s">
        <v>1860</v>
      </c>
      <c r="O18">
        <v>0</v>
      </c>
      <c r="P18" s="112" t="e">
        <f t="shared" si="0"/>
        <v>#DIV/0!</v>
      </c>
    </row>
    <row r="19" spans="1:16">
      <c r="A19">
        <v>100104</v>
      </c>
      <c r="B19" t="s">
        <v>1850</v>
      </c>
      <c r="C19" t="s">
        <v>2424</v>
      </c>
      <c r="D19" t="s">
        <v>1808</v>
      </c>
      <c r="E19" t="s">
        <v>1809</v>
      </c>
      <c r="F19" t="s">
        <v>1201</v>
      </c>
      <c r="G19" s="112">
        <v>100</v>
      </c>
      <c r="H19" s="112">
        <v>101</v>
      </c>
      <c r="I19">
        <v>20461942</v>
      </c>
      <c r="J19" s="113">
        <v>4573244730126</v>
      </c>
      <c r="L19">
        <v>8</v>
      </c>
      <c r="N19" t="s">
        <v>1860</v>
      </c>
      <c r="O19">
        <v>0</v>
      </c>
      <c r="P19" s="112" t="e">
        <f t="shared" si="0"/>
        <v>#DIV/0!</v>
      </c>
    </row>
    <row r="20" spans="1:16">
      <c r="A20">
        <v>100105</v>
      </c>
      <c r="B20" t="s">
        <v>1850</v>
      </c>
      <c r="C20" t="s">
        <v>2424</v>
      </c>
      <c r="D20" t="s">
        <v>1212</v>
      </c>
      <c r="E20" t="s">
        <v>1213</v>
      </c>
      <c r="F20" t="s">
        <v>1201</v>
      </c>
      <c r="G20" s="112">
        <v>100</v>
      </c>
      <c r="H20" s="112">
        <v>101</v>
      </c>
      <c r="I20">
        <v>20452469</v>
      </c>
      <c r="J20" s="113">
        <v>4573244730041</v>
      </c>
      <c r="K20" s="113">
        <v>2100204524697</v>
      </c>
      <c r="L20">
        <v>5</v>
      </c>
      <c r="N20" t="s">
        <v>1861</v>
      </c>
      <c r="O20">
        <v>0</v>
      </c>
      <c r="P20" s="112" t="e">
        <f t="shared" si="0"/>
        <v>#DIV/0!</v>
      </c>
    </row>
    <row r="21" spans="1:16">
      <c r="A21">
        <v>100106</v>
      </c>
      <c r="B21" t="s">
        <v>1850</v>
      </c>
      <c r="C21" t="s">
        <v>2424</v>
      </c>
      <c r="D21" t="s">
        <v>1799</v>
      </c>
      <c r="E21" t="s">
        <v>1800</v>
      </c>
      <c r="F21" t="s">
        <v>1201</v>
      </c>
      <c r="G21" s="112">
        <v>100</v>
      </c>
      <c r="H21" s="112">
        <v>101</v>
      </c>
      <c r="I21">
        <v>20452476</v>
      </c>
      <c r="J21" s="113">
        <v>4573244730058</v>
      </c>
      <c r="K21" s="113">
        <v>2100204524765</v>
      </c>
      <c r="L21">
        <v>5</v>
      </c>
      <c r="N21" t="s">
        <v>1861</v>
      </c>
      <c r="O21">
        <v>0</v>
      </c>
      <c r="P21" s="112" t="e">
        <f t="shared" si="0"/>
        <v>#DIV/0!</v>
      </c>
    </row>
    <row r="22" spans="1:16">
      <c r="A22">
        <v>100107</v>
      </c>
      <c r="B22" t="s">
        <v>1850</v>
      </c>
      <c r="C22" t="s">
        <v>2424</v>
      </c>
      <c r="D22" t="s">
        <v>1796</v>
      </c>
      <c r="E22" t="s">
        <v>1797</v>
      </c>
      <c r="F22" t="s">
        <v>1201</v>
      </c>
      <c r="G22" s="112">
        <v>100</v>
      </c>
      <c r="H22" s="112">
        <v>101</v>
      </c>
      <c r="I22">
        <v>20452483</v>
      </c>
      <c r="J22" s="113">
        <v>4573244730065</v>
      </c>
      <c r="K22" s="113">
        <v>2100204524833</v>
      </c>
      <c r="L22">
        <v>5</v>
      </c>
      <c r="N22" t="s">
        <v>1861</v>
      </c>
      <c r="O22">
        <v>0</v>
      </c>
      <c r="P22" s="112" t="e">
        <f t="shared" si="0"/>
        <v>#DIV/0!</v>
      </c>
    </row>
    <row r="23" spans="1:16">
      <c r="A23">
        <v>100108</v>
      </c>
      <c r="B23" t="s">
        <v>1850</v>
      </c>
      <c r="C23" t="s">
        <v>2424</v>
      </c>
      <c r="D23" t="s">
        <v>1838</v>
      </c>
      <c r="E23" t="s">
        <v>1839</v>
      </c>
      <c r="F23" t="s">
        <v>1201</v>
      </c>
      <c r="G23" s="112">
        <v>100</v>
      </c>
      <c r="H23" s="112">
        <v>101</v>
      </c>
      <c r="I23">
        <v>20461959</v>
      </c>
      <c r="J23" s="113">
        <v>4573244730133</v>
      </c>
      <c r="L23">
        <v>5</v>
      </c>
      <c r="N23" t="s">
        <v>1861</v>
      </c>
      <c r="O23">
        <v>0</v>
      </c>
      <c r="P23" s="112" t="e">
        <f t="shared" si="0"/>
        <v>#DIV/0!</v>
      </c>
    </row>
    <row r="24" spans="1:16">
      <c r="A24">
        <v>100109</v>
      </c>
      <c r="B24" t="s">
        <v>1850</v>
      </c>
      <c r="C24" t="s">
        <v>2424</v>
      </c>
      <c r="D24" t="s">
        <v>1840</v>
      </c>
      <c r="E24" t="s">
        <v>1841</v>
      </c>
      <c r="F24" t="s">
        <v>1201</v>
      </c>
      <c r="G24" s="112">
        <v>100</v>
      </c>
      <c r="H24" s="112">
        <v>101</v>
      </c>
      <c r="I24">
        <v>20452490</v>
      </c>
      <c r="J24" s="113">
        <v>4573244730072</v>
      </c>
      <c r="K24" s="113">
        <v>2100204524901</v>
      </c>
      <c r="L24">
        <v>3</v>
      </c>
      <c r="N24" t="s">
        <v>1861</v>
      </c>
      <c r="O24">
        <v>0</v>
      </c>
      <c r="P24" s="112" t="e">
        <f t="shared" si="0"/>
        <v>#DIV/0!</v>
      </c>
    </row>
    <row r="25" spans="1:16">
      <c r="A25">
        <v>100110</v>
      </c>
      <c r="B25" t="s">
        <v>1850</v>
      </c>
      <c r="C25" t="s">
        <v>2424</v>
      </c>
      <c r="D25" t="s">
        <v>1222</v>
      </c>
      <c r="E25" t="s">
        <v>1223</v>
      </c>
      <c r="F25" t="s">
        <v>1201</v>
      </c>
      <c r="G25" s="112">
        <v>100</v>
      </c>
      <c r="H25" s="112">
        <v>101</v>
      </c>
      <c r="I25">
        <v>20452506</v>
      </c>
      <c r="J25" s="113">
        <v>4573244730089</v>
      </c>
      <c r="K25" s="113">
        <v>2100204525069</v>
      </c>
      <c r="L25">
        <v>3</v>
      </c>
      <c r="N25" t="s">
        <v>1861</v>
      </c>
      <c r="O25">
        <v>0</v>
      </c>
      <c r="P25" s="112" t="e">
        <f t="shared" si="0"/>
        <v>#DIV/0!</v>
      </c>
    </row>
    <row r="26" spans="1:16">
      <c r="A26">
        <v>100111</v>
      </c>
      <c r="B26" t="s">
        <v>1850</v>
      </c>
      <c r="C26" t="s">
        <v>2424</v>
      </c>
      <c r="D26" t="s">
        <v>1804</v>
      </c>
      <c r="E26" t="s">
        <v>1805</v>
      </c>
      <c r="F26" t="s">
        <v>1201</v>
      </c>
      <c r="G26" s="112">
        <v>100</v>
      </c>
      <c r="H26" s="112">
        <v>101</v>
      </c>
      <c r="I26">
        <v>20452513</v>
      </c>
      <c r="J26" s="113">
        <v>4573244730096</v>
      </c>
      <c r="K26" s="113">
        <v>2100204525137</v>
      </c>
      <c r="L26">
        <v>3</v>
      </c>
      <c r="N26" t="s">
        <v>1861</v>
      </c>
      <c r="O26">
        <v>0</v>
      </c>
      <c r="P26" s="112" t="e">
        <f t="shared" si="0"/>
        <v>#DIV/0!</v>
      </c>
    </row>
    <row r="27" spans="1:16">
      <c r="A27">
        <v>100112</v>
      </c>
      <c r="B27" t="s">
        <v>1850</v>
      </c>
      <c r="C27" t="s">
        <v>2424</v>
      </c>
      <c r="D27" t="s">
        <v>1211</v>
      </c>
      <c r="E27" t="s">
        <v>1802</v>
      </c>
      <c r="F27" t="s">
        <v>1201</v>
      </c>
      <c r="G27" s="112">
        <v>100</v>
      </c>
      <c r="H27" s="112">
        <v>101</v>
      </c>
      <c r="I27">
        <v>20452520</v>
      </c>
      <c r="J27" s="113">
        <v>4573244730102</v>
      </c>
      <c r="K27" s="113">
        <v>2100204525205</v>
      </c>
      <c r="L27">
        <v>1</v>
      </c>
      <c r="N27" t="s">
        <v>1860</v>
      </c>
      <c r="O27">
        <v>0</v>
      </c>
      <c r="P27" s="112" t="e">
        <f t="shared" si="0"/>
        <v>#DIV/0!</v>
      </c>
    </row>
    <row r="28" spans="1:16">
      <c r="A28">
        <v>100113</v>
      </c>
      <c r="B28" t="s">
        <v>1850</v>
      </c>
      <c r="C28" t="s">
        <v>2424</v>
      </c>
      <c r="D28" t="s">
        <v>1833</v>
      </c>
      <c r="E28" t="s">
        <v>1834</v>
      </c>
      <c r="F28" t="s">
        <v>1201</v>
      </c>
      <c r="G28" s="112">
        <v>100</v>
      </c>
      <c r="H28" s="112">
        <v>101</v>
      </c>
      <c r="I28">
        <v>20461966</v>
      </c>
      <c r="J28" s="113">
        <v>4573244730140</v>
      </c>
      <c r="L28">
        <v>1</v>
      </c>
      <c r="N28" t="s">
        <v>1860</v>
      </c>
      <c r="O28">
        <v>0</v>
      </c>
      <c r="P28" s="112" t="e">
        <f t="shared" si="0"/>
        <v>#DIV/0!</v>
      </c>
    </row>
    <row r="29" spans="1:16">
      <c r="A29">
        <v>100201</v>
      </c>
      <c r="B29" t="s">
        <v>1850</v>
      </c>
      <c r="C29" t="s">
        <v>2425</v>
      </c>
      <c r="D29" t="s">
        <v>1862</v>
      </c>
      <c r="E29" t="s">
        <v>2030</v>
      </c>
      <c r="F29" t="s">
        <v>1201</v>
      </c>
      <c r="G29" s="112">
        <v>100</v>
      </c>
      <c r="H29" s="112">
        <v>101</v>
      </c>
      <c r="I29">
        <v>20503994</v>
      </c>
      <c r="J29" s="113">
        <v>2100205039947</v>
      </c>
      <c r="K29" s="113">
        <v>2100205039947</v>
      </c>
      <c r="L29">
        <v>36</v>
      </c>
      <c r="M29">
        <v>7</v>
      </c>
      <c r="N29" t="s">
        <v>1863</v>
      </c>
      <c r="P29" s="112">
        <f t="shared" si="0"/>
        <v>14.285714285714286</v>
      </c>
    </row>
    <row r="30" spans="1:16">
      <c r="A30">
        <v>100202</v>
      </c>
      <c r="B30" t="s">
        <v>1850</v>
      </c>
      <c r="C30" t="s">
        <v>2425</v>
      </c>
      <c r="D30" t="s">
        <v>1864</v>
      </c>
      <c r="E30" t="s">
        <v>2026</v>
      </c>
      <c r="F30" t="s">
        <v>1201</v>
      </c>
      <c r="G30" s="112">
        <v>100</v>
      </c>
      <c r="H30" s="112">
        <v>101</v>
      </c>
      <c r="I30">
        <v>20504007</v>
      </c>
      <c r="J30" s="113">
        <v>2100205040073</v>
      </c>
      <c r="K30" s="113">
        <v>2100205040073</v>
      </c>
      <c r="L30">
        <v>27</v>
      </c>
      <c r="M30">
        <v>12</v>
      </c>
      <c r="N30" t="s">
        <v>1863</v>
      </c>
      <c r="P30" s="112">
        <f t="shared" si="0"/>
        <v>8.3333333333333339</v>
      </c>
    </row>
    <row r="31" spans="1:16">
      <c r="A31">
        <v>100203</v>
      </c>
      <c r="B31" t="s">
        <v>1850</v>
      </c>
      <c r="C31" t="s">
        <v>2425</v>
      </c>
      <c r="D31" t="s">
        <v>1865</v>
      </c>
      <c r="E31" t="s">
        <v>2027</v>
      </c>
      <c r="F31" t="s">
        <v>1201</v>
      </c>
      <c r="G31" s="112">
        <v>100</v>
      </c>
      <c r="H31" s="112">
        <v>101</v>
      </c>
      <c r="I31">
        <v>20504014</v>
      </c>
      <c r="J31" s="113">
        <v>2100205040141</v>
      </c>
      <c r="K31" s="113">
        <v>2100205040141</v>
      </c>
      <c r="L31">
        <v>21</v>
      </c>
      <c r="M31">
        <v>19</v>
      </c>
      <c r="N31" t="s">
        <v>1863</v>
      </c>
      <c r="P31" s="112">
        <f t="shared" si="0"/>
        <v>5.2631578947368425</v>
      </c>
    </row>
    <row r="32" spans="1:16">
      <c r="A32">
        <v>100204</v>
      </c>
      <c r="B32" t="s">
        <v>1850</v>
      </c>
      <c r="C32" t="s">
        <v>2425</v>
      </c>
      <c r="D32" t="s">
        <v>1866</v>
      </c>
      <c r="E32" t="s">
        <v>1991</v>
      </c>
      <c r="F32" t="s">
        <v>1201</v>
      </c>
      <c r="G32" s="112">
        <v>100</v>
      </c>
      <c r="H32" s="112">
        <v>101</v>
      </c>
      <c r="I32">
        <v>20504021</v>
      </c>
      <c r="J32" s="113">
        <v>2100205040219</v>
      </c>
      <c r="K32" s="113">
        <v>2100205040219</v>
      </c>
      <c r="L32">
        <v>10</v>
      </c>
      <c r="M32">
        <v>25</v>
      </c>
      <c r="N32" t="s">
        <v>1863</v>
      </c>
      <c r="P32" s="112">
        <f t="shared" si="0"/>
        <v>4</v>
      </c>
    </row>
    <row r="33" spans="1:16">
      <c r="A33">
        <v>100205</v>
      </c>
      <c r="B33" t="s">
        <v>1850</v>
      </c>
      <c r="C33" t="s">
        <v>2425</v>
      </c>
      <c r="D33" t="s">
        <v>1867</v>
      </c>
      <c r="E33" t="s">
        <v>1997</v>
      </c>
      <c r="F33" t="s">
        <v>1201</v>
      </c>
      <c r="G33" s="112">
        <v>100</v>
      </c>
      <c r="H33" s="112">
        <v>101</v>
      </c>
      <c r="I33">
        <v>20504038</v>
      </c>
      <c r="J33" s="113">
        <v>2100205040387</v>
      </c>
      <c r="K33" s="113">
        <v>2100205040387</v>
      </c>
      <c r="L33">
        <v>10</v>
      </c>
      <c r="M33">
        <v>33</v>
      </c>
      <c r="N33" t="s">
        <v>1863</v>
      </c>
      <c r="P33" s="112">
        <f t="shared" si="0"/>
        <v>3.0303030303030303</v>
      </c>
    </row>
    <row r="34" spans="1:16">
      <c r="A34">
        <v>100206</v>
      </c>
      <c r="B34" t="s">
        <v>1850</v>
      </c>
      <c r="C34" t="s">
        <v>2425</v>
      </c>
      <c r="D34" t="s">
        <v>1868</v>
      </c>
      <c r="E34" t="s">
        <v>2021</v>
      </c>
      <c r="F34" t="s">
        <v>1201</v>
      </c>
      <c r="G34" s="112">
        <v>100</v>
      </c>
      <c r="H34" s="112">
        <v>101</v>
      </c>
      <c r="I34">
        <v>20504045</v>
      </c>
      <c r="J34" s="113">
        <v>2100205040455</v>
      </c>
      <c r="K34" s="113">
        <v>2100205040455</v>
      </c>
      <c r="L34">
        <v>3</v>
      </c>
      <c r="M34">
        <v>53</v>
      </c>
      <c r="N34" t="s">
        <v>1863</v>
      </c>
      <c r="P34" s="112">
        <f t="shared" si="0"/>
        <v>1.8867924528301887</v>
      </c>
    </row>
    <row r="35" spans="1:16">
      <c r="A35">
        <v>100207</v>
      </c>
      <c r="B35" t="s">
        <v>1850</v>
      </c>
      <c r="C35" t="s">
        <v>2425</v>
      </c>
      <c r="D35" t="s">
        <v>1869</v>
      </c>
      <c r="E35" t="s">
        <v>2051</v>
      </c>
      <c r="F35" t="s">
        <v>1201</v>
      </c>
      <c r="G35" s="112">
        <v>100</v>
      </c>
      <c r="H35" s="112">
        <v>101</v>
      </c>
      <c r="I35">
        <v>20504052</v>
      </c>
      <c r="J35" s="113">
        <v>2100205040523</v>
      </c>
      <c r="K35" s="113">
        <v>2100205040523</v>
      </c>
      <c r="L35">
        <v>3</v>
      </c>
      <c r="M35">
        <v>76</v>
      </c>
      <c r="N35" t="s">
        <v>1863</v>
      </c>
      <c r="P35" s="112">
        <f t="shared" si="0"/>
        <v>1.3157894736842106</v>
      </c>
    </row>
    <row r="36" spans="1:16">
      <c r="A36">
        <v>100208</v>
      </c>
      <c r="B36" t="s">
        <v>1850</v>
      </c>
      <c r="C36" t="s">
        <v>2425</v>
      </c>
      <c r="D36" t="s">
        <v>1870</v>
      </c>
      <c r="E36" t="s">
        <v>2024</v>
      </c>
      <c r="F36" t="s">
        <v>1201</v>
      </c>
      <c r="G36" s="112">
        <v>100</v>
      </c>
      <c r="H36" s="112">
        <v>101</v>
      </c>
      <c r="I36">
        <v>20504069</v>
      </c>
      <c r="J36" s="113">
        <v>2100205040691</v>
      </c>
      <c r="K36" s="113">
        <v>2100205040691</v>
      </c>
      <c r="L36">
        <v>10</v>
      </c>
      <c r="M36">
        <v>4</v>
      </c>
      <c r="N36" t="s">
        <v>1863</v>
      </c>
      <c r="P36" s="112">
        <f t="shared" si="0"/>
        <v>25</v>
      </c>
    </row>
    <row r="37" spans="1:16">
      <c r="A37">
        <v>100209</v>
      </c>
      <c r="B37" t="s">
        <v>1850</v>
      </c>
      <c r="C37" t="s">
        <v>2425</v>
      </c>
      <c r="D37" t="s">
        <v>1871</v>
      </c>
      <c r="E37" t="s">
        <v>2031</v>
      </c>
      <c r="F37" t="s">
        <v>1201</v>
      </c>
      <c r="G37" s="112">
        <v>100</v>
      </c>
      <c r="H37" s="112">
        <v>101</v>
      </c>
      <c r="I37">
        <v>20504076</v>
      </c>
      <c r="J37" s="113">
        <v>2100205040769</v>
      </c>
      <c r="K37" s="113">
        <v>2100205040769</v>
      </c>
      <c r="L37">
        <v>10</v>
      </c>
      <c r="M37">
        <v>6</v>
      </c>
      <c r="N37" t="s">
        <v>1863</v>
      </c>
      <c r="P37" s="112">
        <f t="shared" si="0"/>
        <v>16.666666666666668</v>
      </c>
    </row>
    <row r="38" spans="1:16">
      <c r="A38">
        <v>100210</v>
      </c>
      <c r="B38" t="s">
        <v>1850</v>
      </c>
      <c r="C38" t="s">
        <v>2425</v>
      </c>
      <c r="D38" t="s">
        <v>1872</v>
      </c>
      <c r="E38" t="s">
        <v>2015</v>
      </c>
      <c r="F38" t="s">
        <v>1201</v>
      </c>
      <c r="G38" s="112">
        <v>100</v>
      </c>
      <c r="H38" s="112">
        <v>101</v>
      </c>
      <c r="I38">
        <v>20504083</v>
      </c>
      <c r="J38" s="113">
        <v>2100205040837</v>
      </c>
      <c r="K38" s="113">
        <v>2100205040837</v>
      </c>
      <c r="L38">
        <v>10</v>
      </c>
      <c r="M38">
        <v>8</v>
      </c>
      <c r="N38" t="s">
        <v>1863</v>
      </c>
      <c r="P38" s="112">
        <f t="shared" si="0"/>
        <v>12.5</v>
      </c>
    </row>
    <row r="39" spans="1:16">
      <c r="A39">
        <v>100211</v>
      </c>
      <c r="B39" t="s">
        <v>1850</v>
      </c>
      <c r="C39" t="s">
        <v>2425</v>
      </c>
      <c r="D39" t="s">
        <v>1873</v>
      </c>
      <c r="E39" t="s">
        <v>2011</v>
      </c>
      <c r="F39" t="s">
        <v>1201</v>
      </c>
      <c r="G39" s="112">
        <v>100</v>
      </c>
      <c r="H39" s="112">
        <v>101</v>
      </c>
      <c r="I39">
        <v>20504090</v>
      </c>
      <c r="J39" s="113">
        <v>2100205040905</v>
      </c>
      <c r="K39" s="113">
        <v>2100205040905</v>
      </c>
      <c r="L39">
        <v>10</v>
      </c>
      <c r="M39">
        <v>10</v>
      </c>
      <c r="N39" t="s">
        <v>1863</v>
      </c>
      <c r="P39" s="112">
        <f t="shared" si="0"/>
        <v>10</v>
      </c>
    </row>
    <row r="40" spans="1:16">
      <c r="A40">
        <v>100212</v>
      </c>
      <c r="B40" t="s">
        <v>1850</v>
      </c>
      <c r="C40" t="s">
        <v>2425</v>
      </c>
      <c r="D40" t="s">
        <v>1874</v>
      </c>
      <c r="E40" t="s">
        <v>1998</v>
      </c>
      <c r="F40" t="s">
        <v>1201</v>
      </c>
      <c r="G40" s="112">
        <v>100</v>
      </c>
      <c r="H40" s="112">
        <v>101</v>
      </c>
      <c r="I40">
        <v>20504106</v>
      </c>
      <c r="J40" s="113">
        <v>2100205041063</v>
      </c>
      <c r="K40" s="113">
        <v>2100205041063</v>
      </c>
      <c r="L40">
        <v>10</v>
      </c>
      <c r="M40">
        <v>13</v>
      </c>
      <c r="N40" t="s">
        <v>1863</v>
      </c>
      <c r="P40" s="112">
        <f t="shared" si="0"/>
        <v>7.6923076923076925</v>
      </c>
    </row>
    <row r="41" spans="1:16">
      <c r="A41">
        <v>100213</v>
      </c>
      <c r="B41" t="s">
        <v>1850</v>
      </c>
      <c r="C41" t="s">
        <v>2425</v>
      </c>
      <c r="D41" t="s">
        <v>1875</v>
      </c>
      <c r="E41" t="s">
        <v>2009</v>
      </c>
      <c r="F41" t="s">
        <v>1201</v>
      </c>
      <c r="G41" s="112">
        <v>100</v>
      </c>
      <c r="H41" s="112">
        <v>101</v>
      </c>
      <c r="I41">
        <v>20504113</v>
      </c>
      <c r="J41" s="113">
        <v>2100205041131</v>
      </c>
      <c r="K41" s="113">
        <v>2100205041131</v>
      </c>
      <c r="L41">
        <v>5</v>
      </c>
      <c r="M41">
        <v>19</v>
      </c>
      <c r="N41" t="s">
        <v>1863</v>
      </c>
      <c r="P41" s="112">
        <f t="shared" si="0"/>
        <v>5.2631578947368425</v>
      </c>
    </row>
    <row r="42" spans="1:16">
      <c r="A42">
        <v>100214</v>
      </c>
      <c r="B42" t="s">
        <v>1850</v>
      </c>
      <c r="C42" t="s">
        <v>2425</v>
      </c>
      <c r="D42" t="s">
        <v>1876</v>
      </c>
      <c r="E42" t="s">
        <v>2013</v>
      </c>
      <c r="F42" t="s">
        <v>1201</v>
      </c>
      <c r="G42" s="112">
        <v>100</v>
      </c>
      <c r="H42" s="112">
        <v>101</v>
      </c>
      <c r="I42">
        <v>20504120</v>
      </c>
      <c r="J42" s="113">
        <v>2100205041209</v>
      </c>
      <c r="K42" s="113">
        <v>2100205041209</v>
      </c>
      <c r="L42">
        <v>5</v>
      </c>
      <c r="M42">
        <v>32</v>
      </c>
      <c r="N42" t="s">
        <v>1863</v>
      </c>
      <c r="P42" s="112">
        <f t="shared" si="0"/>
        <v>3.125</v>
      </c>
    </row>
    <row r="43" spans="1:16">
      <c r="A43">
        <v>100215</v>
      </c>
      <c r="B43" t="s">
        <v>1850</v>
      </c>
      <c r="C43" t="s">
        <v>2425</v>
      </c>
      <c r="D43" t="s">
        <v>1877</v>
      </c>
      <c r="E43" t="s">
        <v>2029</v>
      </c>
      <c r="F43" t="s">
        <v>1201</v>
      </c>
      <c r="G43" s="112">
        <v>100</v>
      </c>
      <c r="H43" s="112">
        <v>101</v>
      </c>
      <c r="I43">
        <v>20504137</v>
      </c>
      <c r="J43" s="113">
        <v>2100205041377</v>
      </c>
      <c r="K43" s="113">
        <v>2100205041377</v>
      </c>
      <c r="L43">
        <v>33</v>
      </c>
      <c r="M43">
        <v>12</v>
      </c>
      <c r="N43" t="s">
        <v>1863</v>
      </c>
      <c r="P43" s="112">
        <f t="shared" si="0"/>
        <v>8.3333333333333339</v>
      </c>
    </row>
    <row r="44" spans="1:16">
      <c r="A44">
        <v>100216</v>
      </c>
      <c r="B44" t="s">
        <v>1850</v>
      </c>
      <c r="C44" t="s">
        <v>2425</v>
      </c>
      <c r="D44" t="s">
        <v>1848</v>
      </c>
      <c r="E44" t="s">
        <v>1988</v>
      </c>
      <c r="F44" t="s">
        <v>1201</v>
      </c>
      <c r="G44" s="112">
        <v>100</v>
      </c>
      <c r="H44" s="112">
        <v>101</v>
      </c>
      <c r="I44">
        <v>20504144</v>
      </c>
      <c r="J44" s="113">
        <v>2100205041445</v>
      </c>
      <c r="K44" s="113">
        <v>2100205041445</v>
      </c>
      <c r="L44">
        <v>27</v>
      </c>
      <c r="M44">
        <v>20</v>
      </c>
      <c r="N44" t="s">
        <v>1863</v>
      </c>
      <c r="P44" s="112">
        <f t="shared" si="0"/>
        <v>5</v>
      </c>
    </row>
    <row r="45" spans="1:16">
      <c r="A45">
        <v>100217</v>
      </c>
      <c r="B45" t="s">
        <v>1850</v>
      </c>
      <c r="C45" t="s">
        <v>2425</v>
      </c>
      <c r="D45" t="s">
        <v>1878</v>
      </c>
      <c r="E45" t="s">
        <v>2033</v>
      </c>
      <c r="F45" t="s">
        <v>1201</v>
      </c>
      <c r="G45" s="112">
        <v>100</v>
      </c>
      <c r="H45" s="112">
        <v>101</v>
      </c>
      <c r="I45">
        <v>20504151</v>
      </c>
      <c r="J45" s="113">
        <v>2100205041513</v>
      </c>
      <c r="K45" s="113">
        <v>2100205041513</v>
      </c>
      <c r="L45">
        <v>21</v>
      </c>
      <c r="M45">
        <v>30</v>
      </c>
      <c r="N45" t="s">
        <v>1863</v>
      </c>
      <c r="P45" s="112">
        <f t="shared" si="0"/>
        <v>3.3333333333333335</v>
      </c>
    </row>
    <row r="46" spans="1:16">
      <c r="A46">
        <v>100218</v>
      </c>
      <c r="B46" t="s">
        <v>1850</v>
      </c>
      <c r="C46" t="s">
        <v>2425</v>
      </c>
      <c r="D46" t="s">
        <v>1879</v>
      </c>
      <c r="E46" t="s">
        <v>1992</v>
      </c>
      <c r="F46" t="s">
        <v>1201</v>
      </c>
      <c r="G46" s="112">
        <v>100</v>
      </c>
      <c r="H46" s="112">
        <v>101</v>
      </c>
      <c r="I46">
        <v>20504168</v>
      </c>
      <c r="J46" s="113">
        <v>2100205041681</v>
      </c>
      <c r="K46" s="113">
        <v>2100205041681</v>
      </c>
      <c r="L46">
        <v>10</v>
      </c>
      <c r="M46">
        <v>39</v>
      </c>
      <c r="N46" t="s">
        <v>1863</v>
      </c>
      <c r="P46" s="112">
        <f t="shared" si="0"/>
        <v>2.5641025641025643</v>
      </c>
    </row>
    <row r="47" spans="1:16">
      <c r="A47">
        <v>100219</v>
      </c>
      <c r="B47" t="s">
        <v>1850</v>
      </c>
      <c r="C47" t="s">
        <v>2425</v>
      </c>
      <c r="D47" t="s">
        <v>1880</v>
      </c>
      <c r="E47" t="s">
        <v>1993</v>
      </c>
      <c r="F47" t="s">
        <v>1201</v>
      </c>
      <c r="G47" s="112">
        <v>100</v>
      </c>
      <c r="H47" s="112">
        <v>101</v>
      </c>
      <c r="I47">
        <v>20504175</v>
      </c>
      <c r="J47" s="113">
        <v>2100205041759</v>
      </c>
      <c r="K47" s="113">
        <v>2100205041759</v>
      </c>
      <c r="L47">
        <v>1</v>
      </c>
      <c r="M47">
        <v>26</v>
      </c>
      <c r="N47" t="s">
        <v>1863</v>
      </c>
      <c r="P47" s="112">
        <f t="shared" si="0"/>
        <v>3.8461538461538463</v>
      </c>
    </row>
    <row r="48" spans="1:16">
      <c r="A48">
        <v>100220</v>
      </c>
      <c r="B48" t="s">
        <v>1850</v>
      </c>
      <c r="C48" t="s">
        <v>2425</v>
      </c>
      <c r="D48" t="s">
        <v>1881</v>
      </c>
      <c r="E48" t="s">
        <v>1986</v>
      </c>
      <c r="F48" t="s">
        <v>1201</v>
      </c>
      <c r="G48" s="112">
        <v>100</v>
      </c>
      <c r="H48" s="112">
        <v>101</v>
      </c>
      <c r="I48">
        <v>20504182</v>
      </c>
      <c r="J48" s="113">
        <v>2100205041827</v>
      </c>
      <c r="K48" s="113">
        <v>2100205041827</v>
      </c>
      <c r="L48">
        <v>1</v>
      </c>
      <c r="M48">
        <v>40</v>
      </c>
      <c r="N48" t="s">
        <v>1863</v>
      </c>
      <c r="P48" s="112">
        <f t="shared" si="0"/>
        <v>2.5</v>
      </c>
    </row>
    <row r="49" spans="1:16">
      <c r="A49">
        <v>100221</v>
      </c>
      <c r="B49" t="s">
        <v>1850</v>
      </c>
      <c r="C49" t="s">
        <v>2425</v>
      </c>
      <c r="D49" t="s">
        <v>1882</v>
      </c>
      <c r="E49" t="s">
        <v>1989</v>
      </c>
      <c r="F49" t="s">
        <v>1201</v>
      </c>
      <c r="G49" s="112">
        <v>100</v>
      </c>
      <c r="H49" s="112">
        <v>101</v>
      </c>
      <c r="I49">
        <v>20504199</v>
      </c>
      <c r="J49" s="113">
        <v>2100205041995</v>
      </c>
      <c r="K49" s="113">
        <v>2100205041995</v>
      </c>
      <c r="L49">
        <v>1</v>
      </c>
      <c r="M49">
        <v>61</v>
      </c>
      <c r="N49" t="s">
        <v>1863</v>
      </c>
      <c r="P49" s="112">
        <f t="shared" si="0"/>
        <v>1.639344262295082</v>
      </c>
    </row>
    <row r="50" spans="1:16">
      <c r="A50">
        <v>100222</v>
      </c>
      <c r="B50" t="s">
        <v>1850</v>
      </c>
      <c r="C50" t="s">
        <v>2425</v>
      </c>
      <c r="D50" t="s">
        <v>1883</v>
      </c>
      <c r="E50" t="s">
        <v>2002</v>
      </c>
      <c r="F50" t="s">
        <v>1201</v>
      </c>
      <c r="G50" s="112">
        <v>100</v>
      </c>
      <c r="H50" s="112">
        <v>101</v>
      </c>
      <c r="I50">
        <v>20504205</v>
      </c>
      <c r="J50" s="113">
        <v>2100205042053</v>
      </c>
      <c r="K50" s="113">
        <v>2100205042053</v>
      </c>
      <c r="L50">
        <v>2</v>
      </c>
      <c r="M50">
        <v>5</v>
      </c>
      <c r="N50" t="s">
        <v>1863</v>
      </c>
      <c r="P50" s="112">
        <f t="shared" si="0"/>
        <v>20</v>
      </c>
    </row>
    <row r="51" spans="1:16">
      <c r="A51">
        <v>100223</v>
      </c>
      <c r="B51" t="s">
        <v>1850</v>
      </c>
      <c r="C51" t="s">
        <v>2425</v>
      </c>
      <c r="D51" t="s">
        <v>1884</v>
      </c>
      <c r="E51" t="s">
        <v>1994</v>
      </c>
      <c r="F51" t="s">
        <v>1201</v>
      </c>
      <c r="G51" s="112">
        <v>100</v>
      </c>
      <c r="H51" s="112">
        <v>101</v>
      </c>
      <c r="I51">
        <v>20504212</v>
      </c>
      <c r="J51" s="113">
        <v>2100205042121</v>
      </c>
      <c r="K51" s="113">
        <v>2100205042121</v>
      </c>
      <c r="L51">
        <v>2</v>
      </c>
      <c r="M51">
        <v>8</v>
      </c>
      <c r="N51" t="s">
        <v>1863</v>
      </c>
      <c r="P51" s="112">
        <f t="shared" si="0"/>
        <v>12.5</v>
      </c>
    </row>
    <row r="52" spans="1:16">
      <c r="A52">
        <v>100224</v>
      </c>
      <c r="B52" t="s">
        <v>1850</v>
      </c>
      <c r="C52" t="s">
        <v>2425</v>
      </c>
      <c r="D52" t="s">
        <v>1885</v>
      </c>
      <c r="E52" t="s">
        <v>1990</v>
      </c>
      <c r="F52" t="s">
        <v>1201</v>
      </c>
      <c r="G52" s="112">
        <v>100</v>
      </c>
      <c r="H52" s="112">
        <v>101</v>
      </c>
      <c r="I52">
        <v>20504229</v>
      </c>
      <c r="J52" s="113">
        <v>2100205042299</v>
      </c>
      <c r="K52" s="113">
        <v>2100205042299</v>
      </c>
      <c r="L52">
        <v>2</v>
      </c>
      <c r="M52">
        <v>12</v>
      </c>
      <c r="N52" t="s">
        <v>1863</v>
      </c>
      <c r="P52" s="112">
        <f t="shared" si="0"/>
        <v>8.3333333333333339</v>
      </c>
    </row>
    <row r="53" spans="1:16">
      <c r="A53">
        <v>100225</v>
      </c>
      <c r="B53" t="s">
        <v>1850</v>
      </c>
      <c r="C53" t="s">
        <v>2425</v>
      </c>
      <c r="D53" t="s">
        <v>1886</v>
      </c>
      <c r="E53" t="s">
        <v>1995</v>
      </c>
      <c r="F53" t="s">
        <v>1201</v>
      </c>
      <c r="G53" s="112">
        <v>100</v>
      </c>
      <c r="H53" s="112">
        <v>101</v>
      </c>
      <c r="I53">
        <v>20504236</v>
      </c>
      <c r="J53" s="113">
        <v>2100205042367</v>
      </c>
      <c r="K53" s="113">
        <v>2100205042367</v>
      </c>
      <c r="L53">
        <v>2</v>
      </c>
      <c r="M53">
        <v>14</v>
      </c>
      <c r="N53" t="s">
        <v>1863</v>
      </c>
      <c r="P53" s="112">
        <f t="shared" si="0"/>
        <v>7.1428571428571432</v>
      </c>
    </row>
    <row r="54" spans="1:16">
      <c r="A54">
        <v>100226</v>
      </c>
      <c r="B54" t="s">
        <v>1850</v>
      </c>
      <c r="C54" t="s">
        <v>2425</v>
      </c>
      <c r="D54" t="s">
        <v>1887</v>
      </c>
      <c r="E54" t="s">
        <v>2016</v>
      </c>
      <c r="F54" t="s">
        <v>1201</v>
      </c>
      <c r="G54" s="112">
        <v>100</v>
      </c>
      <c r="H54" s="112">
        <v>101</v>
      </c>
      <c r="I54">
        <v>20504243</v>
      </c>
      <c r="J54" s="113">
        <v>2100205042435</v>
      </c>
      <c r="K54" s="113">
        <v>2100205042435</v>
      </c>
      <c r="L54">
        <v>2</v>
      </c>
      <c r="M54">
        <v>19</v>
      </c>
      <c r="N54" t="s">
        <v>1863</v>
      </c>
      <c r="P54" s="112">
        <f t="shared" si="0"/>
        <v>5.2631578947368425</v>
      </c>
    </row>
    <row r="55" spans="1:16">
      <c r="A55">
        <v>100227</v>
      </c>
      <c r="B55" t="s">
        <v>1850</v>
      </c>
      <c r="C55" t="s">
        <v>2425</v>
      </c>
      <c r="D55" t="s">
        <v>1888</v>
      </c>
      <c r="E55" t="s">
        <v>2017</v>
      </c>
      <c r="F55" t="s">
        <v>1201</v>
      </c>
      <c r="G55" s="112">
        <v>100</v>
      </c>
      <c r="H55" s="112">
        <v>101</v>
      </c>
      <c r="I55">
        <v>20504250</v>
      </c>
      <c r="J55" s="113">
        <v>2100205042503</v>
      </c>
      <c r="K55" s="113">
        <v>2100205042503</v>
      </c>
      <c r="L55">
        <v>2</v>
      </c>
      <c r="M55">
        <v>22</v>
      </c>
      <c r="N55" t="s">
        <v>1863</v>
      </c>
      <c r="P55" s="112">
        <f t="shared" si="0"/>
        <v>4.5454545454545459</v>
      </c>
    </row>
    <row r="56" spans="1:16">
      <c r="A56">
        <v>100228</v>
      </c>
      <c r="B56" t="s">
        <v>1850</v>
      </c>
      <c r="C56" t="s">
        <v>2425</v>
      </c>
      <c r="D56" t="s">
        <v>1843</v>
      </c>
      <c r="E56" t="s">
        <v>2062</v>
      </c>
      <c r="F56" t="s">
        <v>1201</v>
      </c>
      <c r="G56" s="112">
        <v>100</v>
      </c>
      <c r="H56" s="112">
        <v>101</v>
      </c>
      <c r="I56">
        <v>20504267</v>
      </c>
      <c r="J56" s="113">
        <v>2100205042671</v>
      </c>
      <c r="K56" s="113">
        <v>2100205042671</v>
      </c>
      <c r="L56">
        <v>2</v>
      </c>
      <c r="M56">
        <v>19</v>
      </c>
      <c r="N56" t="s">
        <v>1863</v>
      </c>
      <c r="P56" s="112">
        <f t="shared" si="0"/>
        <v>5.2631578947368425</v>
      </c>
    </row>
    <row r="57" spans="1:16">
      <c r="A57">
        <v>100229</v>
      </c>
      <c r="B57" t="s">
        <v>1850</v>
      </c>
      <c r="C57" t="s">
        <v>2425</v>
      </c>
      <c r="D57" t="s">
        <v>1844</v>
      </c>
      <c r="E57" t="s">
        <v>2053</v>
      </c>
      <c r="F57" t="s">
        <v>1201</v>
      </c>
      <c r="G57" s="112">
        <v>100</v>
      </c>
      <c r="H57" s="112">
        <v>101</v>
      </c>
      <c r="I57">
        <v>20504274</v>
      </c>
      <c r="J57" s="113">
        <v>2100205042749</v>
      </c>
      <c r="K57" s="113">
        <v>2100205042749</v>
      </c>
      <c r="L57">
        <v>2</v>
      </c>
      <c r="M57">
        <v>26</v>
      </c>
      <c r="N57" t="s">
        <v>1863</v>
      </c>
      <c r="P57" s="112">
        <f t="shared" si="0"/>
        <v>3.8461538461538463</v>
      </c>
    </row>
    <row r="58" spans="1:16">
      <c r="A58">
        <v>100230</v>
      </c>
      <c r="B58" t="s">
        <v>1850</v>
      </c>
      <c r="C58" t="s">
        <v>2425</v>
      </c>
      <c r="D58" t="s">
        <v>1845</v>
      </c>
      <c r="E58" t="s">
        <v>2063</v>
      </c>
      <c r="F58" t="s">
        <v>1201</v>
      </c>
      <c r="G58" s="112">
        <v>100</v>
      </c>
      <c r="H58" s="112">
        <v>101</v>
      </c>
      <c r="I58">
        <v>20504281</v>
      </c>
      <c r="J58" s="113">
        <v>2100205042817</v>
      </c>
      <c r="K58" s="113">
        <v>2100205042817</v>
      </c>
      <c r="L58">
        <v>2</v>
      </c>
      <c r="M58">
        <v>34</v>
      </c>
      <c r="N58" t="s">
        <v>1863</v>
      </c>
      <c r="P58" s="112">
        <f t="shared" si="0"/>
        <v>2.9411764705882355</v>
      </c>
    </row>
    <row r="59" spans="1:16">
      <c r="A59">
        <v>100231</v>
      </c>
      <c r="B59" t="s">
        <v>1850</v>
      </c>
      <c r="C59" t="s">
        <v>2425</v>
      </c>
      <c r="D59" t="s">
        <v>1889</v>
      </c>
      <c r="E59" t="s">
        <v>2426</v>
      </c>
      <c r="F59" t="s">
        <v>1201</v>
      </c>
      <c r="G59" s="112">
        <v>100</v>
      </c>
      <c r="H59" s="112">
        <v>101</v>
      </c>
      <c r="I59">
        <v>20504298</v>
      </c>
      <c r="J59" s="113">
        <v>2100205042985</v>
      </c>
      <c r="K59" s="113">
        <v>2100205042985</v>
      </c>
      <c r="L59">
        <v>1</v>
      </c>
      <c r="M59">
        <v>20</v>
      </c>
      <c r="N59" t="s">
        <v>1863</v>
      </c>
      <c r="P59" s="112">
        <f t="shared" si="0"/>
        <v>5</v>
      </c>
    </row>
    <row r="60" spans="1:16">
      <c r="A60">
        <v>100232</v>
      </c>
      <c r="B60" t="s">
        <v>1850</v>
      </c>
      <c r="C60" t="s">
        <v>2425</v>
      </c>
      <c r="D60" t="s">
        <v>1890</v>
      </c>
      <c r="E60" t="s">
        <v>2427</v>
      </c>
      <c r="F60" t="s">
        <v>1201</v>
      </c>
      <c r="G60" s="112">
        <v>100</v>
      </c>
      <c r="H60" s="112">
        <v>101</v>
      </c>
      <c r="I60">
        <v>20504304</v>
      </c>
      <c r="J60" s="113">
        <v>2100205043043</v>
      </c>
      <c r="K60" s="113">
        <v>2100205043043</v>
      </c>
      <c r="L60">
        <v>1</v>
      </c>
      <c r="M60">
        <v>33</v>
      </c>
      <c r="N60" t="s">
        <v>1863</v>
      </c>
      <c r="P60" s="112">
        <f t="shared" si="0"/>
        <v>3.0303030303030303</v>
      </c>
    </row>
    <row r="61" spans="1:16">
      <c r="A61">
        <v>100233</v>
      </c>
      <c r="B61" t="s">
        <v>1850</v>
      </c>
      <c r="C61" t="s">
        <v>2425</v>
      </c>
      <c r="D61" t="s">
        <v>1891</v>
      </c>
      <c r="E61" t="s">
        <v>1987</v>
      </c>
      <c r="F61" t="s">
        <v>1201</v>
      </c>
      <c r="G61" s="112">
        <v>100</v>
      </c>
      <c r="H61" s="112">
        <v>101</v>
      </c>
      <c r="I61">
        <v>20504311</v>
      </c>
      <c r="J61" s="113">
        <v>2100205043111</v>
      </c>
      <c r="K61" s="113">
        <v>2100205043111</v>
      </c>
      <c r="L61">
        <v>40</v>
      </c>
      <c r="M61">
        <v>13</v>
      </c>
      <c r="N61" t="s">
        <v>1863</v>
      </c>
      <c r="P61" s="112">
        <f t="shared" si="0"/>
        <v>7.6923076923076925</v>
      </c>
    </row>
    <row r="62" spans="1:16">
      <c r="A62">
        <v>100234</v>
      </c>
      <c r="B62" t="s">
        <v>1850</v>
      </c>
      <c r="C62" t="s">
        <v>2425</v>
      </c>
      <c r="D62" t="s">
        <v>1892</v>
      </c>
      <c r="E62" t="s">
        <v>2018</v>
      </c>
      <c r="F62" t="s">
        <v>1201</v>
      </c>
      <c r="G62" s="112">
        <v>100</v>
      </c>
      <c r="H62" s="112">
        <v>101</v>
      </c>
      <c r="I62">
        <v>20504328</v>
      </c>
      <c r="J62" s="113">
        <v>2100205043289</v>
      </c>
      <c r="K62" s="113">
        <v>2100205043289</v>
      </c>
      <c r="L62">
        <v>30</v>
      </c>
      <c r="M62">
        <v>16</v>
      </c>
      <c r="N62" t="s">
        <v>1863</v>
      </c>
      <c r="P62" s="112">
        <f t="shared" si="0"/>
        <v>6.25</v>
      </c>
    </row>
    <row r="63" spans="1:16">
      <c r="A63">
        <v>100235</v>
      </c>
      <c r="B63" t="s">
        <v>1850</v>
      </c>
      <c r="C63" t="s">
        <v>2425</v>
      </c>
      <c r="D63" t="s">
        <v>1893</v>
      </c>
      <c r="E63" t="s">
        <v>2004</v>
      </c>
      <c r="F63" t="s">
        <v>1201</v>
      </c>
      <c r="G63" s="112">
        <v>100</v>
      </c>
      <c r="H63" s="112">
        <v>101</v>
      </c>
      <c r="I63">
        <v>20504335</v>
      </c>
      <c r="J63" s="113">
        <v>2100205043357</v>
      </c>
      <c r="K63" s="113">
        <v>2100205043357</v>
      </c>
      <c r="L63">
        <v>20</v>
      </c>
      <c r="M63">
        <v>0.09</v>
      </c>
      <c r="N63" t="s">
        <v>1863</v>
      </c>
      <c r="P63" s="112">
        <f t="shared" si="0"/>
        <v>1111.1111111111111</v>
      </c>
    </row>
    <row r="64" spans="1:16">
      <c r="A64">
        <v>100236</v>
      </c>
      <c r="B64" t="s">
        <v>1850</v>
      </c>
      <c r="C64" t="s">
        <v>2425</v>
      </c>
      <c r="D64" t="s">
        <v>1894</v>
      </c>
      <c r="E64" t="s">
        <v>2005</v>
      </c>
      <c r="F64" t="s">
        <v>1201</v>
      </c>
      <c r="G64" s="112">
        <v>100</v>
      </c>
      <c r="H64" s="112">
        <v>101</v>
      </c>
      <c r="I64">
        <v>20504342</v>
      </c>
      <c r="J64" s="113">
        <v>2100205043425</v>
      </c>
      <c r="K64" s="113">
        <v>2100205043425</v>
      </c>
      <c r="L64">
        <v>45</v>
      </c>
      <c r="M64">
        <v>14</v>
      </c>
      <c r="N64" t="s">
        <v>1863</v>
      </c>
      <c r="P64" s="112">
        <f t="shared" si="0"/>
        <v>7.1428571428571432</v>
      </c>
    </row>
    <row r="65" spans="1:16">
      <c r="A65">
        <v>100237</v>
      </c>
      <c r="B65" t="s">
        <v>1850</v>
      </c>
      <c r="C65" t="s">
        <v>2425</v>
      </c>
      <c r="D65" t="s">
        <v>1895</v>
      </c>
      <c r="E65" t="s">
        <v>2028</v>
      </c>
      <c r="F65" t="s">
        <v>1201</v>
      </c>
      <c r="G65" s="112">
        <v>100</v>
      </c>
      <c r="H65" s="112">
        <v>101</v>
      </c>
      <c r="I65">
        <v>20504359</v>
      </c>
      <c r="J65" s="113">
        <v>2100205043593</v>
      </c>
      <c r="K65" s="113">
        <v>2100205043593</v>
      </c>
      <c r="L65">
        <v>36</v>
      </c>
      <c r="M65">
        <v>17</v>
      </c>
      <c r="N65" t="s">
        <v>1863</v>
      </c>
      <c r="P65" s="112">
        <f t="shared" si="0"/>
        <v>5.882352941176471</v>
      </c>
    </row>
    <row r="66" spans="1:16">
      <c r="A66">
        <v>100238</v>
      </c>
      <c r="B66" t="s">
        <v>1850</v>
      </c>
      <c r="C66" t="s">
        <v>2425</v>
      </c>
      <c r="D66" t="s">
        <v>1896</v>
      </c>
      <c r="E66" t="s">
        <v>2025</v>
      </c>
      <c r="F66" t="s">
        <v>1201</v>
      </c>
      <c r="G66" s="112">
        <v>100</v>
      </c>
      <c r="H66" s="112">
        <v>101</v>
      </c>
      <c r="I66">
        <v>20504366</v>
      </c>
      <c r="J66" s="113">
        <v>2100205043661</v>
      </c>
      <c r="K66" s="113">
        <v>2100205043661</v>
      </c>
      <c r="L66">
        <v>27</v>
      </c>
      <c r="M66">
        <v>21</v>
      </c>
      <c r="N66" t="s">
        <v>1863</v>
      </c>
      <c r="P66" s="112">
        <f t="shared" si="0"/>
        <v>4.7619047619047619</v>
      </c>
    </row>
    <row r="67" spans="1:16">
      <c r="A67">
        <v>100239</v>
      </c>
      <c r="B67" t="s">
        <v>1850</v>
      </c>
      <c r="C67" t="s">
        <v>2425</v>
      </c>
      <c r="D67" t="s">
        <v>1897</v>
      </c>
      <c r="E67" t="s">
        <v>2428</v>
      </c>
      <c r="F67" t="s">
        <v>1201</v>
      </c>
      <c r="G67" s="112">
        <v>100</v>
      </c>
      <c r="H67" s="112">
        <v>101</v>
      </c>
      <c r="I67">
        <v>20504373</v>
      </c>
      <c r="J67" s="113">
        <v>2100205043739</v>
      </c>
      <c r="K67" s="113">
        <v>2100205043739</v>
      </c>
      <c r="L67">
        <v>32</v>
      </c>
      <c r="M67">
        <v>20</v>
      </c>
      <c r="N67" t="s">
        <v>1863</v>
      </c>
      <c r="P67" s="112">
        <f t="shared" ref="P67:P130" si="1">G67/M67</f>
        <v>5</v>
      </c>
    </row>
    <row r="68" spans="1:16">
      <c r="A68">
        <v>100240</v>
      </c>
      <c r="B68" t="s">
        <v>1850</v>
      </c>
      <c r="C68" t="s">
        <v>2425</v>
      </c>
      <c r="D68" t="s">
        <v>1898</v>
      </c>
      <c r="E68" t="s">
        <v>2014</v>
      </c>
      <c r="F68" t="s">
        <v>1201</v>
      </c>
      <c r="G68" s="112">
        <v>100</v>
      </c>
      <c r="H68" s="112">
        <v>101</v>
      </c>
      <c r="I68">
        <v>20504380</v>
      </c>
      <c r="J68" s="113">
        <v>2100205043807</v>
      </c>
      <c r="K68" s="113">
        <v>2100205043807</v>
      </c>
      <c r="L68">
        <v>30</v>
      </c>
      <c r="M68">
        <v>23</v>
      </c>
      <c r="N68" t="s">
        <v>1863</v>
      </c>
      <c r="P68" s="112">
        <f t="shared" si="1"/>
        <v>4.3478260869565215</v>
      </c>
    </row>
    <row r="69" spans="1:16">
      <c r="A69">
        <v>100241</v>
      </c>
      <c r="B69" t="s">
        <v>1850</v>
      </c>
      <c r="C69" t="s">
        <v>2425</v>
      </c>
      <c r="D69" t="s">
        <v>1899</v>
      </c>
      <c r="E69" t="s">
        <v>2070</v>
      </c>
      <c r="F69" t="s">
        <v>1201</v>
      </c>
      <c r="G69" s="112">
        <v>100</v>
      </c>
      <c r="H69" s="112">
        <v>101</v>
      </c>
      <c r="I69">
        <v>20504397</v>
      </c>
      <c r="J69" s="113">
        <v>2100205043975</v>
      </c>
      <c r="K69" s="113">
        <v>2100205043975</v>
      </c>
      <c r="L69">
        <v>80</v>
      </c>
      <c r="M69">
        <v>7</v>
      </c>
      <c r="N69" t="s">
        <v>1863</v>
      </c>
      <c r="P69" s="112">
        <f t="shared" si="1"/>
        <v>14.285714285714286</v>
      </c>
    </row>
    <row r="70" spans="1:16">
      <c r="A70">
        <v>100242</v>
      </c>
      <c r="B70" t="s">
        <v>1850</v>
      </c>
      <c r="C70" t="s">
        <v>2425</v>
      </c>
      <c r="D70" t="s">
        <v>1900</v>
      </c>
      <c r="E70" t="s">
        <v>2006</v>
      </c>
      <c r="F70" t="s">
        <v>1201</v>
      </c>
      <c r="G70" s="112">
        <v>100</v>
      </c>
      <c r="H70" s="112">
        <v>101</v>
      </c>
      <c r="I70">
        <v>20504403</v>
      </c>
      <c r="J70" s="113">
        <v>2100205044033</v>
      </c>
      <c r="K70" s="113">
        <v>2100205044033</v>
      </c>
      <c r="L70">
        <v>48</v>
      </c>
      <c r="M70">
        <v>12</v>
      </c>
      <c r="N70" t="s">
        <v>1863</v>
      </c>
      <c r="P70" s="112">
        <f t="shared" si="1"/>
        <v>8.3333333333333339</v>
      </c>
    </row>
    <row r="71" spans="1:16">
      <c r="A71">
        <v>100243</v>
      </c>
      <c r="B71" t="s">
        <v>1850</v>
      </c>
      <c r="C71" t="s">
        <v>2425</v>
      </c>
      <c r="D71" t="s">
        <v>1901</v>
      </c>
      <c r="E71" t="s">
        <v>1999</v>
      </c>
      <c r="F71" t="s">
        <v>1201</v>
      </c>
      <c r="G71" s="112">
        <v>100</v>
      </c>
      <c r="H71" s="112">
        <v>101</v>
      </c>
      <c r="I71">
        <v>20504410</v>
      </c>
      <c r="J71" s="113">
        <v>2100205044101</v>
      </c>
      <c r="K71" s="113">
        <v>2100205044101</v>
      </c>
      <c r="L71">
        <v>24</v>
      </c>
      <c r="M71">
        <v>25</v>
      </c>
      <c r="N71" t="s">
        <v>1863</v>
      </c>
      <c r="P71" s="112">
        <f t="shared" si="1"/>
        <v>4</v>
      </c>
    </row>
    <row r="72" spans="1:16">
      <c r="A72">
        <v>100244</v>
      </c>
      <c r="B72" t="s">
        <v>1850</v>
      </c>
      <c r="C72" t="s">
        <v>2425</v>
      </c>
      <c r="D72" t="s">
        <v>1902</v>
      </c>
      <c r="E72" t="s">
        <v>2429</v>
      </c>
      <c r="F72" t="s">
        <v>1201</v>
      </c>
      <c r="G72" s="112">
        <v>100</v>
      </c>
      <c r="H72" s="112">
        <v>101</v>
      </c>
      <c r="I72">
        <v>20504427</v>
      </c>
      <c r="J72" s="113">
        <v>2100205044279</v>
      </c>
      <c r="K72" s="113">
        <v>2100205044279</v>
      </c>
      <c r="L72">
        <v>48</v>
      </c>
      <c r="M72">
        <v>8</v>
      </c>
      <c r="N72" t="s">
        <v>1863</v>
      </c>
      <c r="P72" s="112">
        <f t="shared" si="1"/>
        <v>12.5</v>
      </c>
    </row>
    <row r="73" spans="1:16">
      <c r="A73">
        <v>100245</v>
      </c>
      <c r="B73" t="s">
        <v>1850</v>
      </c>
      <c r="C73" t="s">
        <v>2425</v>
      </c>
      <c r="D73" t="s">
        <v>1903</v>
      </c>
      <c r="E73" t="s">
        <v>2430</v>
      </c>
      <c r="F73" t="s">
        <v>1201</v>
      </c>
      <c r="G73" s="112">
        <v>100</v>
      </c>
      <c r="H73" s="112">
        <v>101</v>
      </c>
      <c r="I73">
        <v>20504434</v>
      </c>
      <c r="J73" s="113">
        <v>2100205044347</v>
      </c>
      <c r="K73" s="113">
        <v>2100205044347</v>
      </c>
      <c r="L73">
        <v>32</v>
      </c>
      <c r="M73">
        <v>13</v>
      </c>
      <c r="N73" t="s">
        <v>1863</v>
      </c>
      <c r="P73" s="112">
        <f t="shared" si="1"/>
        <v>7.6923076923076925</v>
      </c>
    </row>
    <row r="74" spans="1:16">
      <c r="A74">
        <v>100246</v>
      </c>
      <c r="B74" t="s">
        <v>1850</v>
      </c>
      <c r="C74" t="s">
        <v>2425</v>
      </c>
      <c r="D74" t="s">
        <v>1904</v>
      </c>
      <c r="E74" t="s">
        <v>2067</v>
      </c>
      <c r="F74" t="s">
        <v>1201</v>
      </c>
      <c r="G74" s="112">
        <v>100</v>
      </c>
      <c r="H74" s="112">
        <v>101</v>
      </c>
      <c r="I74">
        <v>20504441</v>
      </c>
      <c r="J74" s="113">
        <v>2100205044415</v>
      </c>
      <c r="K74" s="113">
        <v>2100205044415</v>
      </c>
      <c r="L74">
        <v>128</v>
      </c>
      <c r="M74">
        <v>3</v>
      </c>
      <c r="N74" t="s">
        <v>1863</v>
      </c>
      <c r="P74" s="112">
        <f t="shared" si="1"/>
        <v>33.333333333333336</v>
      </c>
    </row>
    <row r="75" spans="1:16">
      <c r="A75">
        <v>100247</v>
      </c>
      <c r="B75" t="s">
        <v>1850</v>
      </c>
      <c r="C75" t="s">
        <v>2425</v>
      </c>
      <c r="D75" t="s">
        <v>1905</v>
      </c>
      <c r="E75" t="s">
        <v>2000</v>
      </c>
      <c r="F75" t="s">
        <v>1201</v>
      </c>
      <c r="G75" s="112">
        <v>100</v>
      </c>
      <c r="H75" s="112">
        <v>101</v>
      </c>
      <c r="I75">
        <v>20504458</v>
      </c>
      <c r="J75" s="113">
        <v>2100205044583</v>
      </c>
      <c r="K75" s="113">
        <v>2100205044583</v>
      </c>
      <c r="L75">
        <v>64</v>
      </c>
      <c r="M75">
        <v>6</v>
      </c>
      <c r="N75" t="s">
        <v>1863</v>
      </c>
      <c r="P75" s="112">
        <f t="shared" si="1"/>
        <v>16.666666666666668</v>
      </c>
    </row>
    <row r="76" spans="1:16">
      <c r="A76">
        <v>100248</v>
      </c>
      <c r="B76" t="s">
        <v>1850</v>
      </c>
      <c r="C76" t="s">
        <v>2425</v>
      </c>
      <c r="D76" t="s">
        <v>1906</v>
      </c>
      <c r="E76" t="s">
        <v>1996</v>
      </c>
      <c r="F76" t="s">
        <v>1201</v>
      </c>
      <c r="G76" s="112">
        <v>100</v>
      </c>
      <c r="H76" s="112">
        <v>101</v>
      </c>
      <c r="I76">
        <v>20504465</v>
      </c>
      <c r="J76" s="113">
        <v>2100205044651</v>
      </c>
      <c r="K76" s="113">
        <v>2100205044651</v>
      </c>
      <c r="L76">
        <v>48</v>
      </c>
      <c r="M76">
        <v>8</v>
      </c>
      <c r="N76" t="s">
        <v>1863</v>
      </c>
      <c r="P76" s="112">
        <f t="shared" si="1"/>
        <v>12.5</v>
      </c>
    </row>
    <row r="77" spans="1:16">
      <c r="A77">
        <v>100249</v>
      </c>
      <c r="B77" t="s">
        <v>1850</v>
      </c>
      <c r="C77" t="s">
        <v>2425</v>
      </c>
      <c r="D77" t="s">
        <v>1907</v>
      </c>
      <c r="E77" t="s">
        <v>2003</v>
      </c>
      <c r="F77" t="s">
        <v>1201</v>
      </c>
      <c r="G77" s="112">
        <v>100</v>
      </c>
      <c r="H77" s="112">
        <v>101</v>
      </c>
      <c r="I77">
        <v>20504472</v>
      </c>
      <c r="J77" s="113">
        <v>2100205044729</v>
      </c>
      <c r="K77" s="113">
        <v>2100205044729</v>
      </c>
      <c r="L77">
        <v>64</v>
      </c>
      <c r="M77">
        <v>7</v>
      </c>
      <c r="N77" t="s">
        <v>1863</v>
      </c>
      <c r="P77" s="112">
        <f t="shared" si="1"/>
        <v>14.285714285714286</v>
      </c>
    </row>
    <row r="78" spans="1:16">
      <c r="A78">
        <v>100250</v>
      </c>
      <c r="B78" t="s">
        <v>1850</v>
      </c>
      <c r="C78" t="s">
        <v>2425</v>
      </c>
      <c r="D78" t="s">
        <v>1908</v>
      </c>
      <c r="E78" t="s">
        <v>2022</v>
      </c>
      <c r="F78" t="s">
        <v>1201</v>
      </c>
      <c r="G78" s="112">
        <v>100</v>
      </c>
      <c r="H78" s="112">
        <v>101</v>
      </c>
      <c r="I78">
        <v>20504489</v>
      </c>
      <c r="J78" s="113">
        <v>2100205044897</v>
      </c>
      <c r="K78" s="113">
        <v>2100205044897</v>
      </c>
      <c r="L78">
        <v>48</v>
      </c>
      <c r="M78">
        <v>9</v>
      </c>
      <c r="N78" t="s">
        <v>1863</v>
      </c>
      <c r="P78" s="112">
        <f t="shared" si="1"/>
        <v>11.111111111111111</v>
      </c>
    </row>
    <row r="79" spans="1:16">
      <c r="A79">
        <v>100251</v>
      </c>
      <c r="B79" t="s">
        <v>1850</v>
      </c>
      <c r="C79" t="s">
        <v>2425</v>
      </c>
      <c r="D79" t="s">
        <v>1909</v>
      </c>
      <c r="E79" t="s">
        <v>2010</v>
      </c>
      <c r="F79" t="s">
        <v>1201</v>
      </c>
      <c r="G79" s="112">
        <v>100</v>
      </c>
      <c r="H79" s="112">
        <v>101</v>
      </c>
      <c r="I79">
        <v>20504496</v>
      </c>
      <c r="J79" s="113">
        <v>2100205044965</v>
      </c>
      <c r="K79" s="113">
        <v>2100205044965</v>
      </c>
      <c r="L79">
        <v>48</v>
      </c>
      <c r="M79">
        <v>10</v>
      </c>
      <c r="N79" t="s">
        <v>1863</v>
      </c>
      <c r="P79" s="112">
        <f t="shared" si="1"/>
        <v>10</v>
      </c>
    </row>
    <row r="80" spans="1:16">
      <c r="A80">
        <v>100252</v>
      </c>
      <c r="B80" t="s">
        <v>1850</v>
      </c>
      <c r="C80" t="s">
        <v>2425</v>
      </c>
      <c r="D80" t="s">
        <v>1910</v>
      </c>
      <c r="E80" t="s">
        <v>2019</v>
      </c>
      <c r="F80" t="s">
        <v>1201</v>
      </c>
      <c r="G80" s="112">
        <v>100</v>
      </c>
      <c r="H80" s="112">
        <v>101</v>
      </c>
      <c r="I80">
        <v>20504502</v>
      </c>
      <c r="J80" s="113">
        <v>2100205045023</v>
      </c>
      <c r="K80" s="113">
        <v>2100205045023</v>
      </c>
      <c r="L80">
        <v>18</v>
      </c>
      <c r="M80">
        <v>16</v>
      </c>
      <c r="N80" t="s">
        <v>1863</v>
      </c>
      <c r="P80" s="112">
        <f t="shared" si="1"/>
        <v>6.25</v>
      </c>
    </row>
    <row r="81" spans="1:16">
      <c r="A81">
        <v>100253</v>
      </c>
      <c r="B81" t="s">
        <v>1850</v>
      </c>
      <c r="C81" t="s">
        <v>2425</v>
      </c>
      <c r="D81" t="s">
        <v>1911</v>
      </c>
      <c r="E81" t="s">
        <v>2023</v>
      </c>
      <c r="F81" t="s">
        <v>1201</v>
      </c>
      <c r="G81" s="112">
        <v>100</v>
      </c>
      <c r="H81" s="112">
        <v>101</v>
      </c>
      <c r="I81">
        <v>20504519</v>
      </c>
      <c r="J81" s="113">
        <v>2100205045191</v>
      </c>
      <c r="K81" s="113">
        <v>2100205045191</v>
      </c>
      <c r="L81">
        <v>18</v>
      </c>
      <c r="M81">
        <v>18</v>
      </c>
      <c r="N81" t="s">
        <v>1863</v>
      </c>
      <c r="P81" s="112">
        <f t="shared" si="1"/>
        <v>5.5555555555555554</v>
      </c>
    </row>
    <row r="82" spans="1:16">
      <c r="A82">
        <v>100254</v>
      </c>
      <c r="B82" t="s">
        <v>1850</v>
      </c>
      <c r="C82" t="s">
        <v>2425</v>
      </c>
      <c r="D82" t="s">
        <v>1912</v>
      </c>
      <c r="E82" t="s">
        <v>2057</v>
      </c>
      <c r="F82" t="s">
        <v>1201</v>
      </c>
      <c r="G82" s="112">
        <v>100</v>
      </c>
      <c r="H82" s="112">
        <v>101</v>
      </c>
      <c r="I82">
        <v>20504526</v>
      </c>
      <c r="J82" s="113">
        <v>2100205045269</v>
      </c>
      <c r="K82" s="113">
        <v>2100205045269</v>
      </c>
      <c r="L82">
        <v>18</v>
      </c>
      <c r="M82">
        <v>26</v>
      </c>
      <c r="N82" t="s">
        <v>1863</v>
      </c>
      <c r="P82" s="112">
        <f t="shared" si="1"/>
        <v>3.8461538461538463</v>
      </c>
    </row>
    <row r="83" spans="1:16">
      <c r="A83">
        <v>100255</v>
      </c>
      <c r="B83" t="s">
        <v>1850</v>
      </c>
      <c r="C83" t="s">
        <v>2425</v>
      </c>
      <c r="D83" t="s">
        <v>1913</v>
      </c>
      <c r="E83" t="s">
        <v>2007</v>
      </c>
      <c r="F83" t="s">
        <v>1201</v>
      </c>
      <c r="G83" s="112">
        <v>100</v>
      </c>
      <c r="H83" s="112">
        <v>101</v>
      </c>
      <c r="I83">
        <v>20504533</v>
      </c>
      <c r="J83" s="113">
        <v>2100205045337</v>
      </c>
      <c r="K83" s="113">
        <v>2100205045337</v>
      </c>
      <c r="L83">
        <v>48</v>
      </c>
      <c r="M83">
        <v>12</v>
      </c>
      <c r="N83" t="s">
        <v>1863</v>
      </c>
      <c r="P83" s="112">
        <f t="shared" si="1"/>
        <v>8.3333333333333339</v>
      </c>
    </row>
    <row r="84" spans="1:16">
      <c r="A84">
        <v>100256</v>
      </c>
      <c r="B84" t="s">
        <v>1850</v>
      </c>
      <c r="C84" t="s">
        <v>2425</v>
      </c>
      <c r="D84" t="s">
        <v>1914</v>
      </c>
      <c r="E84" t="s">
        <v>2068</v>
      </c>
      <c r="F84" t="s">
        <v>1201</v>
      </c>
      <c r="G84" s="112">
        <v>100</v>
      </c>
      <c r="H84" s="112">
        <v>101</v>
      </c>
      <c r="I84">
        <v>20504540</v>
      </c>
      <c r="J84" s="113">
        <v>2100205045405</v>
      </c>
      <c r="K84" s="113">
        <v>2100205045405</v>
      </c>
      <c r="L84">
        <v>32</v>
      </c>
      <c r="M84">
        <v>17</v>
      </c>
      <c r="N84" t="s">
        <v>1863</v>
      </c>
      <c r="P84" s="112">
        <f t="shared" si="1"/>
        <v>5.882352941176471</v>
      </c>
    </row>
    <row r="85" spans="1:16">
      <c r="A85">
        <v>100257</v>
      </c>
      <c r="B85" t="s">
        <v>1850</v>
      </c>
      <c r="C85" t="s">
        <v>2425</v>
      </c>
      <c r="D85" t="s">
        <v>1915</v>
      </c>
      <c r="E85" t="s">
        <v>2431</v>
      </c>
      <c r="F85" t="s">
        <v>1201</v>
      </c>
      <c r="G85" s="112">
        <v>100</v>
      </c>
      <c r="H85" s="112">
        <v>101</v>
      </c>
      <c r="I85">
        <v>20504557</v>
      </c>
      <c r="J85" s="113">
        <v>2100205045573</v>
      </c>
      <c r="K85" s="113">
        <v>2100205045573</v>
      </c>
      <c r="L85">
        <v>32</v>
      </c>
      <c r="M85">
        <v>20</v>
      </c>
      <c r="N85" t="s">
        <v>1863</v>
      </c>
      <c r="P85" s="112">
        <f t="shared" si="1"/>
        <v>5</v>
      </c>
    </row>
    <row r="86" spans="1:16">
      <c r="A86">
        <v>100258</v>
      </c>
      <c r="B86" t="s">
        <v>1850</v>
      </c>
      <c r="C86" t="s">
        <v>2425</v>
      </c>
      <c r="D86" t="s">
        <v>1846</v>
      </c>
      <c r="E86" t="s">
        <v>2008</v>
      </c>
      <c r="F86" t="s">
        <v>1201</v>
      </c>
      <c r="G86" s="112">
        <v>100</v>
      </c>
      <c r="H86" s="112">
        <v>101</v>
      </c>
      <c r="I86">
        <v>20504564</v>
      </c>
      <c r="J86" s="113">
        <v>2100205045641</v>
      </c>
      <c r="K86" s="113">
        <v>2100205045641</v>
      </c>
      <c r="L86">
        <v>15</v>
      </c>
      <c r="M86">
        <v>28</v>
      </c>
      <c r="N86" t="s">
        <v>1863</v>
      </c>
      <c r="P86" s="112">
        <f t="shared" si="1"/>
        <v>3.5714285714285716</v>
      </c>
    </row>
    <row r="87" spans="1:16">
      <c r="A87">
        <v>100259</v>
      </c>
      <c r="B87" t="s">
        <v>1850</v>
      </c>
      <c r="C87" t="s">
        <v>2425</v>
      </c>
      <c r="D87" t="s">
        <v>1916</v>
      </c>
      <c r="E87" t="s">
        <v>2056</v>
      </c>
      <c r="F87" t="s">
        <v>1201</v>
      </c>
      <c r="G87" s="112">
        <v>100</v>
      </c>
      <c r="H87" s="112">
        <v>101</v>
      </c>
      <c r="I87">
        <v>20504571</v>
      </c>
      <c r="J87" s="113">
        <v>2100205045719</v>
      </c>
      <c r="K87" s="113">
        <v>2100205045719</v>
      </c>
      <c r="L87">
        <v>18</v>
      </c>
      <c r="M87">
        <v>12</v>
      </c>
      <c r="N87" t="s">
        <v>1863</v>
      </c>
      <c r="P87" s="112">
        <f t="shared" si="1"/>
        <v>8.3333333333333339</v>
      </c>
    </row>
    <row r="88" spans="1:16">
      <c r="A88">
        <v>100260</v>
      </c>
      <c r="B88" t="s">
        <v>1850</v>
      </c>
      <c r="C88" t="s">
        <v>2425</v>
      </c>
      <c r="D88" t="s">
        <v>1917</v>
      </c>
      <c r="E88" t="s">
        <v>2052</v>
      </c>
      <c r="F88" t="s">
        <v>1201</v>
      </c>
      <c r="G88" s="112">
        <v>100</v>
      </c>
      <c r="H88" s="112">
        <v>101</v>
      </c>
      <c r="I88">
        <v>20504588</v>
      </c>
      <c r="J88" s="113">
        <v>2100205045887</v>
      </c>
      <c r="K88" s="113">
        <v>2100205045887</v>
      </c>
      <c r="L88">
        <v>30</v>
      </c>
      <c r="M88">
        <v>13</v>
      </c>
      <c r="N88" t="s">
        <v>1863</v>
      </c>
      <c r="P88" s="112">
        <f t="shared" si="1"/>
        <v>7.6923076923076925</v>
      </c>
    </row>
    <row r="89" spans="1:16">
      <c r="A89">
        <v>100261</v>
      </c>
      <c r="B89" t="s">
        <v>1850</v>
      </c>
      <c r="C89" t="s">
        <v>2425</v>
      </c>
      <c r="D89" t="s">
        <v>1918</v>
      </c>
      <c r="E89" t="s">
        <v>2032</v>
      </c>
      <c r="F89" t="s">
        <v>1201</v>
      </c>
      <c r="G89" s="112">
        <v>100</v>
      </c>
      <c r="H89" s="112">
        <v>101</v>
      </c>
      <c r="I89">
        <v>20504595</v>
      </c>
      <c r="J89" s="113">
        <v>2100205045955</v>
      </c>
      <c r="K89" s="113">
        <v>2100205045955</v>
      </c>
      <c r="L89">
        <v>18</v>
      </c>
      <c r="M89">
        <v>32</v>
      </c>
      <c r="N89" t="s">
        <v>1863</v>
      </c>
      <c r="P89" s="112">
        <f t="shared" si="1"/>
        <v>3.125</v>
      </c>
    </row>
    <row r="90" spans="1:16">
      <c r="A90">
        <v>100262</v>
      </c>
      <c r="B90" t="s">
        <v>1850</v>
      </c>
      <c r="C90" t="s">
        <v>2425</v>
      </c>
      <c r="D90" t="s">
        <v>1919</v>
      </c>
      <c r="E90" t="s">
        <v>2069</v>
      </c>
      <c r="F90" t="s">
        <v>1201</v>
      </c>
      <c r="G90" s="112">
        <v>100</v>
      </c>
      <c r="H90" s="112">
        <v>101</v>
      </c>
      <c r="I90">
        <v>20504601</v>
      </c>
      <c r="J90" s="113">
        <v>2100205046013</v>
      </c>
      <c r="K90" s="113">
        <v>2100205046013</v>
      </c>
      <c r="L90">
        <v>40</v>
      </c>
      <c r="M90">
        <v>8</v>
      </c>
      <c r="N90" t="s">
        <v>1863</v>
      </c>
      <c r="P90" s="112">
        <f t="shared" si="1"/>
        <v>12.5</v>
      </c>
    </row>
    <row r="91" spans="1:16">
      <c r="A91">
        <v>100263</v>
      </c>
      <c r="B91" t="s">
        <v>1850</v>
      </c>
      <c r="C91" t="s">
        <v>2425</v>
      </c>
      <c r="D91" t="s">
        <v>1920</v>
      </c>
      <c r="E91" t="s">
        <v>2048</v>
      </c>
      <c r="F91" t="s">
        <v>1201</v>
      </c>
      <c r="G91" s="112">
        <v>100</v>
      </c>
      <c r="H91" s="112">
        <v>101</v>
      </c>
      <c r="I91">
        <v>20504618</v>
      </c>
      <c r="J91" s="113">
        <v>2100205046181</v>
      </c>
      <c r="K91" s="113">
        <v>2100205046181</v>
      </c>
      <c r="L91">
        <v>27</v>
      </c>
      <c r="M91">
        <v>12</v>
      </c>
      <c r="N91" t="s">
        <v>1863</v>
      </c>
      <c r="P91" s="112">
        <f t="shared" si="1"/>
        <v>8.3333333333333339</v>
      </c>
    </row>
    <row r="92" spans="1:16">
      <c r="A92">
        <v>100264</v>
      </c>
      <c r="B92" t="s">
        <v>1850</v>
      </c>
      <c r="C92" t="s">
        <v>2425</v>
      </c>
      <c r="D92" t="s">
        <v>1921</v>
      </c>
      <c r="E92" t="s">
        <v>2054</v>
      </c>
      <c r="F92" t="s">
        <v>1201</v>
      </c>
      <c r="G92" s="112">
        <v>100</v>
      </c>
      <c r="H92" s="112">
        <v>101</v>
      </c>
      <c r="I92">
        <v>20504625</v>
      </c>
      <c r="J92" s="113">
        <v>2100205046259</v>
      </c>
      <c r="K92" s="113">
        <v>2100205046259</v>
      </c>
      <c r="L92">
        <v>24</v>
      </c>
      <c r="M92">
        <v>12</v>
      </c>
      <c r="N92" t="s">
        <v>1863</v>
      </c>
      <c r="P92" s="112">
        <f t="shared" si="1"/>
        <v>8.3333333333333339</v>
      </c>
    </row>
    <row r="93" spans="1:16">
      <c r="A93">
        <v>100265</v>
      </c>
      <c r="B93" t="s">
        <v>1850</v>
      </c>
      <c r="C93" t="s">
        <v>2425</v>
      </c>
      <c r="D93" t="s">
        <v>1922</v>
      </c>
      <c r="E93" t="s">
        <v>2001</v>
      </c>
      <c r="F93" t="s">
        <v>1201</v>
      </c>
      <c r="G93" s="112">
        <v>100</v>
      </c>
      <c r="H93" s="112">
        <v>101</v>
      </c>
      <c r="I93">
        <v>20504632</v>
      </c>
      <c r="J93" s="113">
        <v>2100205046327</v>
      </c>
      <c r="K93" s="113">
        <v>2100205046327</v>
      </c>
      <c r="L93">
        <v>12</v>
      </c>
      <c r="M93">
        <v>25</v>
      </c>
      <c r="N93" t="s">
        <v>1863</v>
      </c>
      <c r="P93" s="112">
        <f t="shared" si="1"/>
        <v>4</v>
      </c>
    </row>
    <row r="94" spans="1:16">
      <c r="A94">
        <v>100266</v>
      </c>
      <c r="B94" t="s">
        <v>1850</v>
      </c>
      <c r="C94" t="s">
        <v>2425</v>
      </c>
      <c r="D94" t="s">
        <v>1923</v>
      </c>
      <c r="E94" t="s">
        <v>2058</v>
      </c>
      <c r="F94" t="s">
        <v>1201</v>
      </c>
      <c r="G94" s="112">
        <v>100</v>
      </c>
      <c r="H94" s="112">
        <v>101</v>
      </c>
      <c r="I94">
        <v>20504649</v>
      </c>
      <c r="J94" s="113">
        <v>2100205046495</v>
      </c>
      <c r="K94" s="113">
        <v>2100205046495</v>
      </c>
      <c r="L94">
        <v>10</v>
      </c>
      <c r="M94">
        <v>5</v>
      </c>
      <c r="N94" t="s">
        <v>1863</v>
      </c>
      <c r="P94" s="112">
        <f t="shared" si="1"/>
        <v>20</v>
      </c>
    </row>
    <row r="95" spans="1:16">
      <c r="A95">
        <v>100267</v>
      </c>
      <c r="B95" t="s">
        <v>1850</v>
      </c>
      <c r="C95" t="s">
        <v>2425</v>
      </c>
      <c r="D95" t="s">
        <v>1924</v>
      </c>
      <c r="E95" t="s">
        <v>2059</v>
      </c>
      <c r="F95" t="s">
        <v>1201</v>
      </c>
      <c r="G95" s="112">
        <v>100</v>
      </c>
      <c r="H95" s="112">
        <v>101</v>
      </c>
      <c r="I95">
        <v>20504656</v>
      </c>
      <c r="J95" s="113">
        <v>2100205046563</v>
      </c>
      <c r="K95" s="113">
        <v>2100205046563</v>
      </c>
      <c r="L95">
        <v>10</v>
      </c>
      <c r="M95">
        <v>8</v>
      </c>
      <c r="N95" t="s">
        <v>1863</v>
      </c>
      <c r="P95" s="112">
        <f t="shared" si="1"/>
        <v>12.5</v>
      </c>
    </row>
    <row r="96" spans="1:16">
      <c r="A96">
        <v>100268</v>
      </c>
      <c r="B96" t="s">
        <v>1850</v>
      </c>
      <c r="C96" t="s">
        <v>2425</v>
      </c>
      <c r="D96" t="s">
        <v>1925</v>
      </c>
      <c r="E96" t="s">
        <v>2061</v>
      </c>
      <c r="F96" t="s">
        <v>1201</v>
      </c>
      <c r="G96" s="112">
        <v>100</v>
      </c>
      <c r="H96" s="112">
        <v>101</v>
      </c>
      <c r="I96">
        <v>20504663</v>
      </c>
      <c r="J96" s="113">
        <v>2100205046631</v>
      </c>
      <c r="K96" s="113">
        <v>2100205046631</v>
      </c>
      <c r="L96">
        <v>2</v>
      </c>
      <c r="M96">
        <v>18</v>
      </c>
      <c r="N96" t="s">
        <v>1863</v>
      </c>
      <c r="P96" s="112">
        <f t="shared" si="1"/>
        <v>5.5555555555555554</v>
      </c>
    </row>
    <row r="97" spans="1:16">
      <c r="A97">
        <v>100269</v>
      </c>
      <c r="B97" t="s">
        <v>1850</v>
      </c>
      <c r="C97" t="s">
        <v>2425</v>
      </c>
      <c r="D97" t="s">
        <v>1926</v>
      </c>
      <c r="E97" t="s">
        <v>2060</v>
      </c>
      <c r="F97" t="s">
        <v>1201</v>
      </c>
      <c r="G97" s="112">
        <v>100</v>
      </c>
      <c r="H97" s="112">
        <v>101</v>
      </c>
      <c r="I97">
        <v>20504670</v>
      </c>
      <c r="J97" s="113">
        <v>2100205046709</v>
      </c>
      <c r="K97" s="113">
        <v>2100205046709</v>
      </c>
      <c r="L97">
        <v>2</v>
      </c>
      <c r="M97">
        <v>24</v>
      </c>
      <c r="N97" t="s">
        <v>1863</v>
      </c>
      <c r="P97" s="112">
        <f t="shared" si="1"/>
        <v>4.166666666666667</v>
      </c>
    </row>
    <row r="98" spans="1:16">
      <c r="A98">
        <v>100270</v>
      </c>
      <c r="B98" t="s">
        <v>1850</v>
      </c>
      <c r="C98" t="s">
        <v>2425</v>
      </c>
      <c r="D98" t="s">
        <v>1927</v>
      </c>
      <c r="E98" t="s">
        <v>2064</v>
      </c>
      <c r="F98" t="s">
        <v>1201</v>
      </c>
      <c r="G98" s="112">
        <v>100</v>
      </c>
      <c r="H98" s="112">
        <v>101</v>
      </c>
      <c r="I98">
        <v>20504687</v>
      </c>
      <c r="J98" s="113">
        <v>2100205046877</v>
      </c>
      <c r="K98" s="113">
        <v>2100205046877</v>
      </c>
      <c r="L98">
        <v>2</v>
      </c>
      <c r="M98">
        <v>30</v>
      </c>
      <c r="N98" t="s">
        <v>1863</v>
      </c>
      <c r="P98" s="112">
        <f t="shared" si="1"/>
        <v>3.3333333333333335</v>
      </c>
    </row>
    <row r="99" spans="1:16">
      <c r="A99">
        <v>100271</v>
      </c>
      <c r="B99" t="s">
        <v>1850</v>
      </c>
      <c r="C99" t="s">
        <v>2425</v>
      </c>
      <c r="D99" t="s">
        <v>1928</v>
      </c>
      <c r="E99" t="s">
        <v>2020</v>
      </c>
      <c r="F99" t="s">
        <v>1201</v>
      </c>
      <c r="G99" s="112">
        <v>100</v>
      </c>
      <c r="H99" s="112">
        <v>101</v>
      </c>
      <c r="I99">
        <v>20504694</v>
      </c>
      <c r="J99" s="113">
        <v>2100205046945</v>
      </c>
      <c r="K99" s="113">
        <v>2100205046945</v>
      </c>
      <c r="L99">
        <v>200</v>
      </c>
      <c r="M99">
        <v>0.26</v>
      </c>
      <c r="N99" t="s">
        <v>1863</v>
      </c>
      <c r="P99" s="112">
        <f t="shared" si="1"/>
        <v>384.61538461538458</v>
      </c>
    </row>
    <row r="100" spans="1:16">
      <c r="A100">
        <v>100272</v>
      </c>
      <c r="B100" t="s">
        <v>1850</v>
      </c>
      <c r="C100" t="s">
        <v>2425</v>
      </c>
      <c r="D100" t="s">
        <v>1929</v>
      </c>
      <c r="E100" t="s">
        <v>2012</v>
      </c>
      <c r="F100" t="s">
        <v>1201</v>
      </c>
      <c r="G100" s="112">
        <v>100</v>
      </c>
      <c r="H100" s="112">
        <v>101</v>
      </c>
      <c r="I100">
        <v>20504700</v>
      </c>
      <c r="J100" s="113">
        <v>2100205047003</v>
      </c>
      <c r="K100" s="113">
        <v>2100205047003</v>
      </c>
      <c r="L100">
        <v>2000</v>
      </c>
      <c r="M100">
        <v>13</v>
      </c>
      <c r="N100" t="s">
        <v>1863</v>
      </c>
      <c r="P100" s="112">
        <f t="shared" si="1"/>
        <v>7.6923076923076925</v>
      </c>
    </row>
    <row r="101" spans="1:16">
      <c r="A101">
        <v>110002</v>
      </c>
      <c r="B101" t="s">
        <v>1930</v>
      </c>
      <c r="C101" t="s">
        <v>2423</v>
      </c>
      <c r="D101" t="s">
        <v>1932</v>
      </c>
      <c r="E101" t="s">
        <v>1842</v>
      </c>
      <c r="F101" t="s">
        <v>1201</v>
      </c>
      <c r="G101" s="112">
        <v>100</v>
      </c>
      <c r="H101" s="112">
        <v>101</v>
      </c>
      <c r="I101">
        <v>570663</v>
      </c>
      <c r="J101" s="113">
        <v>4975160101590</v>
      </c>
      <c r="L101">
        <v>72</v>
      </c>
      <c r="M101">
        <v>18</v>
      </c>
      <c r="N101" t="s">
        <v>1851</v>
      </c>
      <c r="P101" s="112">
        <f t="shared" si="1"/>
        <v>5.5555555555555554</v>
      </c>
    </row>
    <row r="102" spans="1:16">
      <c r="A102">
        <v>110003</v>
      </c>
      <c r="B102" t="s">
        <v>1930</v>
      </c>
      <c r="C102" t="s">
        <v>2423</v>
      </c>
      <c r="D102" t="s">
        <v>1933</v>
      </c>
      <c r="E102" t="s">
        <v>1934</v>
      </c>
      <c r="F102" t="s">
        <v>1201</v>
      </c>
      <c r="G102" s="112">
        <v>100</v>
      </c>
      <c r="H102" s="112">
        <v>101</v>
      </c>
      <c r="I102">
        <v>570291</v>
      </c>
      <c r="J102" s="113">
        <v>2900570291007</v>
      </c>
      <c r="K102" s="113">
        <v>2900570291007</v>
      </c>
      <c r="L102">
        <v>72</v>
      </c>
      <c r="M102">
        <v>18</v>
      </c>
      <c r="N102" t="s">
        <v>1851</v>
      </c>
      <c r="P102" s="112">
        <f t="shared" si="1"/>
        <v>5.5555555555555554</v>
      </c>
    </row>
    <row r="103" spans="1:16">
      <c r="A103">
        <v>110004</v>
      </c>
      <c r="B103" t="s">
        <v>1930</v>
      </c>
      <c r="C103" t="s">
        <v>2423</v>
      </c>
      <c r="D103" t="s">
        <v>1935</v>
      </c>
      <c r="E103" t="s">
        <v>1936</v>
      </c>
      <c r="F103" t="s">
        <v>1201</v>
      </c>
      <c r="G103" s="112">
        <v>100</v>
      </c>
      <c r="H103" s="112">
        <v>101</v>
      </c>
      <c r="I103">
        <v>570292</v>
      </c>
      <c r="J103" s="113">
        <v>2900570292004</v>
      </c>
      <c r="K103" s="113">
        <v>2900570292004</v>
      </c>
      <c r="L103">
        <v>72</v>
      </c>
      <c r="M103">
        <v>18</v>
      </c>
      <c r="N103" t="s">
        <v>1851</v>
      </c>
      <c r="P103" s="112">
        <f t="shared" si="1"/>
        <v>5.5555555555555554</v>
      </c>
    </row>
    <row r="104" spans="1:16">
      <c r="A104">
        <v>110005</v>
      </c>
      <c r="B104" t="s">
        <v>1930</v>
      </c>
      <c r="C104" t="s">
        <v>2423</v>
      </c>
      <c r="D104" t="s">
        <v>1937</v>
      </c>
      <c r="E104" t="s">
        <v>1842</v>
      </c>
      <c r="F104" t="s">
        <v>1201</v>
      </c>
      <c r="G104" s="112">
        <v>100</v>
      </c>
      <c r="H104" s="112">
        <v>101</v>
      </c>
      <c r="I104">
        <v>570662</v>
      </c>
      <c r="J104" s="113">
        <v>4975160101620</v>
      </c>
      <c r="L104">
        <v>72</v>
      </c>
      <c r="M104">
        <v>18</v>
      </c>
      <c r="N104" t="s">
        <v>1851</v>
      </c>
      <c r="P104" s="112">
        <f t="shared" si="1"/>
        <v>5.5555555555555554</v>
      </c>
    </row>
    <row r="105" spans="1:16">
      <c r="A105">
        <v>110006</v>
      </c>
      <c r="B105" t="s">
        <v>1930</v>
      </c>
      <c r="C105" t="s">
        <v>2423</v>
      </c>
      <c r="D105" t="s">
        <v>1835</v>
      </c>
      <c r="E105" t="s">
        <v>1836</v>
      </c>
      <c r="F105" t="s">
        <v>1201</v>
      </c>
      <c r="G105" s="112">
        <v>100</v>
      </c>
      <c r="H105" s="112">
        <v>101</v>
      </c>
      <c r="I105">
        <v>16519</v>
      </c>
      <c r="J105" s="113">
        <v>2900016519009</v>
      </c>
      <c r="K105" s="113">
        <v>2900016519009</v>
      </c>
      <c r="L105">
        <v>50</v>
      </c>
      <c r="M105">
        <v>25</v>
      </c>
      <c r="N105" t="s">
        <v>1851</v>
      </c>
      <c r="P105" s="112">
        <f t="shared" si="1"/>
        <v>4</v>
      </c>
    </row>
    <row r="106" spans="1:16">
      <c r="A106">
        <v>110007</v>
      </c>
      <c r="B106" t="s">
        <v>1930</v>
      </c>
      <c r="C106" t="s">
        <v>2423</v>
      </c>
      <c r="D106" t="s">
        <v>3</v>
      </c>
      <c r="E106" t="s">
        <v>1836</v>
      </c>
      <c r="F106" t="s">
        <v>1201</v>
      </c>
      <c r="G106" s="112">
        <v>100</v>
      </c>
      <c r="H106" s="112">
        <v>101</v>
      </c>
      <c r="I106">
        <v>17145</v>
      </c>
      <c r="J106" s="113">
        <v>2900017145009</v>
      </c>
      <c r="K106" s="113">
        <v>2900017145009</v>
      </c>
      <c r="L106">
        <v>50</v>
      </c>
      <c r="M106">
        <v>25</v>
      </c>
      <c r="N106" t="s">
        <v>1851</v>
      </c>
      <c r="P106" s="112">
        <f t="shared" si="1"/>
        <v>4</v>
      </c>
    </row>
    <row r="107" spans="1:16">
      <c r="A107">
        <v>120001</v>
      </c>
      <c r="B107" t="s">
        <v>1938</v>
      </c>
      <c r="C107" t="s">
        <v>2423</v>
      </c>
      <c r="D107" t="s">
        <v>1939</v>
      </c>
      <c r="E107" t="s">
        <v>1842</v>
      </c>
      <c r="F107" t="s">
        <v>1201</v>
      </c>
      <c r="G107" s="112">
        <v>100</v>
      </c>
      <c r="H107" s="112">
        <v>101</v>
      </c>
      <c r="I107">
        <v>5186</v>
      </c>
      <c r="J107" s="113">
        <v>3223248</v>
      </c>
      <c r="L107">
        <v>60</v>
      </c>
      <c r="M107">
        <v>18</v>
      </c>
      <c r="N107" t="s">
        <v>1851</v>
      </c>
      <c r="P107" s="112">
        <f t="shared" si="1"/>
        <v>5.5555555555555554</v>
      </c>
    </row>
    <row r="108" spans="1:16">
      <c r="A108">
        <v>120002</v>
      </c>
      <c r="B108" t="s">
        <v>1938</v>
      </c>
      <c r="C108" t="s">
        <v>2423</v>
      </c>
      <c r="D108" t="s">
        <v>1940</v>
      </c>
      <c r="E108" t="s">
        <v>1941</v>
      </c>
      <c r="F108" t="s">
        <v>1201</v>
      </c>
      <c r="G108" s="112">
        <v>100</v>
      </c>
      <c r="H108" s="112">
        <v>101</v>
      </c>
      <c r="I108">
        <v>5187</v>
      </c>
      <c r="J108" s="113">
        <v>3223230</v>
      </c>
      <c r="L108">
        <v>60</v>
      </c>
      <c r="M108">
        <v>18</v>
      </c>
      <c r="N108" t="s">
        <v>1851</v>
      </c>
      <c r="P108" s="112">
        <f t="shared" si="1"/>
        <v>5.5555555555555554</v>
      </c>
    </row>
    <row r="109" spans="1:16">
      <c r="A109">
        <v>200001</v>
      </c>
      <c r="B109" t="s">
        <v>1850</v>
      </c>
      <c r="C109" t="s">
        <v>2423</v>
      </c>
      <c r="D109" t="s">
        <v>0</v>
      </c>
      <c r="E109" t="s">
        <v>1214</v>
      </c>
      <c r="F109" t="s">
        <v>1798</v>
      </c>
      <c r="G109" s="112">
        <v>100</v>
      </c>
      <c r="H109" s="112">
        <v>101</v>
      </c>
      <c r="I109">
        <v>20378035</v>
      </c>
      <c r="J109" s="113">
        <v>2100203780353</v>
      </c>
      <c r="K109" s="113">
        <v>2100203780353</v>
      </c>
      <c r="L109">
        <v>66</v>
      </c>
      <c r="M109">
        <v>20</v>
      </c>
      <c r="N109" t="s">
        <v>1851</v>
      </c>
      <c r="P109" s="112">
        <f t="shared" si="1"/>
        <v>5</v>
      </c>
    </row>
    <row r="110" spans="1:16">
      <c r="A110">
        <v>200002</v>
      </c>
      <c r="B110" t="s">
        <v>1850</v>
      </c>
      <c r="C110" t="s">
        <v>2423</v>
      </c>
      <c r="D110" t="s">
        <v>1</v>
      </c>
      <c r="E110" t="s">
        <v>1795</v>
      </c>
      <c r="F110" t="s">
        <v>1798</v>
      </c>
      <c r="G110" s="112">
        <v>100</v>
      </c>
      <c r="H110" s="112">
        <v>101</v>
      </c>
      <c r="I110">
        <v>20388140</v>
      </c>
      <c r="J110" s="113">
        <v>2100203881401</v>
      </c>
      <c r="K110" s="113">
        <v>2100203881401</v>
      </c>
      <c r="L110">
        <v>66</v>
      </c>
      <c r="M110">
        <v>20</v>
      </c>
      <c r="N110" t="s">
        <v>1851</v>
      </c>
      <c r="P110" s="112">
        <f t="shared" si="1"/>
        <v>5</v>
      </c>
    </row>
    <row r="111" spans="1:16">
      <c r="A111">
        <v>200003</v>
      </c>
      <c r="B111" t="s">
        <v>1850</v>
      </c>
      <c r="C111" t="s">
        <v>2423</v>
      </c>
      <c r="D111" t="s">
        <v>2</v>
      </c>
      <c r="E111" t="s">
        <v>1852</v>
      </c>
      <c r="F111" t="s">
        <v>1798</v>
      </c>
      <c r="G111" s="112">
        <v>100</v>
      </c>
      <c r="H111" s="112">
        <v>101</v>
      </c>
      <c r="I111">
        <v>20388645</v>
      </c>
      <c r="J111" s="113">
        <v>2100203886451</v>
      </c>
      <c r="K111" s="113">
        <v>2100203886451</v>
      </c>
      <c r="L111">
        <v>66</v>
      </c>
      <c r="M111">
        <v>20</v>
      </c>
      <c r="N111" t="s">
        <v>1851</v>
      </c>
      <c r="P111" s="112">
        <f t="shared" si="1"/>
        <v>5</v>
      </c>
    </row>
    <row r="112" spans="1:16">
      <c r="A112">
        <v>200004</v>
      </c>
      <c r="B112" t="s">
        <v>1850</v>
      </c>
      <c r="C112" t="s">
        <v>2423</v>
      </c>
      <c r="D112" t="s">
        <v>1835</v>
      </c>
      <c r="E112" t="s">
        <v>1836</v>
      </c>
      <c r="F112" t="s">
        <v>1798</v>
      </c>
      <c r="G112" s="112">
        <v>100</v>
      </c>
      <c r="H112" s="112">
        <v>101</v>
      </c>
      <c r="I112">
        <v>20378714</v>
      </c>
      <c r="J112" s="113">
        <v>2100203787147</v>
      </c>
      <c r="K112" s="113">
        <v>2100203787147</v>
      </c>
      <c r="L112">
        <v>50</v>
      </c>
      <c r="M112">
        <v>25</v>
      </c>
      <c r="N112" t="s">
        <v>1851</v>
      </c>
      <c r="P112" s="112">
        <f t="shared" si="1"/>
        <v>4</v>
      </c>
    </row>
    <row r="113" spans="1:16">
      <c r="A113">
        <v>200005</v>
      </c>
      <c r="B113" t="s">
        <v>1850</v>
      </c>
      <c r="C113" t="s">
        <v>2423</v>
      </c>
      <c r="D113" t="s">
        <v>3</v>
      </c>
      <c r="E113" t="s">
        <v>1836</v>
      </c>
      <c r="F113" t="s">
        <v>1798</v>
      </c>
      <c r="G113" s="112">
        <v>100</v>
      </c>
      <c r="H113" s="112">
        <v>101</v>
      </c>
      <c r="I113">
        <v>20378721</v>
      </c>
      <c r="J113" s="113">
        <v>2100203787215</v>
      </c>
      <c r="K113" s="113">
        <v>2100203787215</v>
      </c>
      <c r="L113">
        <v>50</v>
      </c>
      <c r="M113">
        <v>25</v>
      </c>
      <c r="N113" t="s">
        <v>1851</v>
      </c>
      <c r="P113" s="112">
        <f t="shared" si="1"/>
        <v>4</v>
      </c>
    </row>
    <row r="114" spans="1:16">
      <c r="A114">
        <v>200006</v>
      </c>
      <c r="B114" t="s">
        <v>1850</v>
      </c>
      <c r="C114" t="s">
        <v>2423</v>
      </c>
      <c r="D114" t="s">
        <v>1855</v>
      </c>
      <c r="E114" t="s">
        <v>1208</v>
      </c>
      <c r="F114" t="s">
        <v>1798</v>
      </c>
      <c r="G114" s="112">
        <v>100</v>
      </c>
      <c r="H114" s="112">
        <v>101</v>
      </c>
      <c r="I114">
        <v>20395896</v>
      </c>
      <c r="J114" s="113">
        <v>2100203958967</v>
      </c>
      <c r="K114" s="113">
        <v>2100203958967</v>
      </c>
      <c r="L114">
        <v>66</v>
      </c>
      <c r="M114">
        <v>20</v>
      </c>
      <c r="N114" t="s">
        <v>1851</v>
      </c>
      <c r="P114" s="112">
        <f t="shared" si="1"/>
        <v>5</v>
      </c>
    </row>
    <row r="115" spans="1:16">
      <c r="A115">
        <v>200007</v>
      </c>
      <c r="B115" t="s">
        <v>1850</v>
      </c>
      <c r="C115" t="s">
        <v>2423</v>
      </c>
      <c r="D115" t="s">
        <v>1856</v>
      </c>
      <c r="E115" t="s">
        <v>1208</v>
      </c>
      <c r="F115" t="s">
        <v>1798</v>
      </c>
      <c r="G115" s="112">
        <v>100</v>
      </c>
      <c r="H115" s="112">
        <v>101</v>
      </c>
      <c r="I115">
        <v>20452421</v>
      </c>
      <c r="J115" s="113">
        <v>2100204524215</v>
      </c>
      <c r="K115" s="113">
        <v>2100204524215</v>
      </c>
      <c r="L115">
        <v>66</v>
      </c>
      <c r="M115">
        <v>20</v>
      </c>
      <c r="N115" t="s">
        <v>1851</v>
      </c>
      <c r="P115" s="112">
        <f t="shared" si="1"/>
        <v>5</v>
      </c>
    </row>
    <row r="116" spans="1:16">
      <c r="A116">
        <v>200101</v>
      </c>
      <c r="B116" t="s">
        <v>1850</v>
      </c>
      <c r="C116" t="s">
        <v>2424</v>
      </c>
      <c r="D116" t="s">
        <v>1209</v>
      </c>
      <c r="E116" t="s">
        <v>1218</v>
      </c>
      <c r="F116" t="s">
        <v>1798</v>
      </c>
      <c r="G116" s="112">
        <v>100</v>
      </c>
      <c r="H116" s="112">
        <v>101</v>
      </c>
      <c r="I116">
        <v>20452438</v>
      </c>
      <c r="J116" s="113">
        <v>4573244730010</v>
      </c>
      <c r="K116" s="113">
        <v>2100204524383</v>
      </c>
      <c r="L116">
        <v>5</v>
      </c>
      <c r="N116" t="s">
        <v>1860</v>
      </c>
      <c r="P116" s="112" t="e">
        <f t="shared" si="1"/>
        <v>#DIV/0!</v>
      </c>
    </row>
    <row r="117" spans="1:16">
      <c r="A117">
        <v>200102</v>
      </c>
      <c r="B117" t="s">
        <v>1850</v>
      </c>
      <c r="C117" t="s">
        <v>2424</v>
      </c>
      <c r="D117" t="s">
        <v>1210</v>
      </c>
      <c r="E117" t="s">
        <v>1801</v>
      </c>
      <c r="F117" t="s">
        <v>1798</v>
      </c>
      <c r="G117" s="112">
        <v>100</v>
      </c>
      <c r="H117" s="112">
        <v>101</v>
      </c>
      <c r="I117">
        <v>20452445</v>
      </c>
      <c r="J117" s="113">
        <v>4573244730027</v>
      </c>
      <c r="K117" s="113">
        <v>2100204524451</v>
      </c>
      <c r="L117">
        <v>5</v>
      </c>
      <c r="N117" t="s">
        <v>1860</v>
      </c>
      <c r="P117" s="112" t="e">
        <f t="shared" si="1"/>
        <v>#DIV/0!</v>
      </c>
    </row>
    <row r="118" spans="1:16">
      <c r="A118">
        <v>200103</v>
      </c>
      <c r="B118" t="s">
        <v>1850</v>
      </c>
      <c r="C118" t="s">
        <v>2424</v>
      </c>
      <c r="D118" t="s">
        <v>1803</v>
      </c>
      <c r="E118" t="s">
        <v>1806</v>
      </c>
      <c r="F118" t="s">
        <v>1798</v>
      </c>
      <c r="G118" s="112">
        <v>100</v>
      </c>
      <c r="H118" s="112">
        <v>101</v>
      </c>
      <c r="I118">
        <v>20452452</v>
      </c>
      <c r="J118" s="113">
        <v>4573244730034</v>
      </c>
      <c r="K118" s="113">
        <v>2100204524529</v>
      </c>
      <c r="L118">
        <v>5</v>
      </c>
      <c r="N118" t="s">
        <v>1860</v>
      </c>
      <c r="P118" s="112" t="e">
        <f t="shared" si="1"/>
        <v>#DIV/0!</v>
      </c>
    </row>
    <row r="119" spans="1:16">
      <c r="A119">
        <v>200104</v>
      </c>
      <c r="B119" t="s">
        <v>1850</v>
      </c>
      <c r="C119" t="s">
        <v>2424</v>
      </c>
      <c r="D119" t="s">
        <v>1212</v>
      </c>
      <c r="E119" t="s">
        <v>1213</v>
      </c>
      <c r="F119" t="s">
        <v>1798</v>
      </c>
      <c r="G119" s="112">
        <v>100</v>
      </c>
      <c r="H119" s="112">
        <v>101</v>
      </c>
      <c r="I119">
        <v>20452469</v>
      </c>
      <c r="J119" s="113">
        <v>4573244730041</v>
      </c>
      <c r="K119" s="113">
        <v>2100204524697</v>
      </c>
      <c r="L119">
        <v>5</v>
      </c>
      <c r="N119" t="s">
        <v>1861</v>
      </c>
      <c r="P119" s="112" t="e">
        <f t="shared" si="1"/>
        <v>#DIV/0!</v>
      </c>
    </row>
    <row r="120" spans="1:16">
      <c r="A120">
        <v>200105</v>
      </c>
      <c r="B120" t="s">
        <v>1850</v>
      </c>
      <c r="C120" t="s">
        <v>2424</v>
      </c>
      <c r="D120" t="s">
        <v>1799</v>
      </c>
      <c r="E120" t="s">
        <v>1800</v>
      </c>
      <c r="F120" t="s">
        <v>1798</v>
      </c>
      <c r="G120" s="112">
        <v>100</v>
      </c>
      <c r="H120" s="112">
        <v>101</v>
      </c>
      <c r="I120">
        <v>20452476</v>
      </c>
      <c r="J120" s="113">
        <v>4573244730058</v>
      </c>
      <c r="K120" s="113">
        <v>2100204524765</v>
      </c>
      <c r="L120">
        <v>5</v>
      </c>
      <c r="N120" t="s">
        <v>1861</v>
      </c>
      <c r="P120" s="112" t="e">
        <f t="shared" si="1"/>
        <v>#DIV/0!</v>
      </c>
    </row>
    <row r="121" spans="1:16">
      <c r="A121">
        <v>200106</v>
      </c>
      <c r="B121" t="s">
        <v>1850</v>
      </c>
      <c r="C121" t="s">
        <v>2424</v>
      </c>
      <c r="D121" t="s">
        <v>1796</v>
      </c>
      <c r="E121" t="s">
        <v>1797</v>
      </c>
      <c r="F121" t="s">
        <v>1798</v>
      </c>
      <c r="G121" s="112">
        <v>100</v>
      </c>
      <c r="H121" s="112">
        <v>101</v>
      </c>
      <c r="I121">
        <v>20452483</v>
      </c>
      <c r="J121" s="113">
        <v>4573244730065</v>
      </c>
      <c r="K121" s="113">
        <v>2100204524833</v>
      </c>
      <c r="L121">
        <v>5</v>
      </c>
      <c r="N121" t="s">
        <v>1861</v>
      </c>
      <c r="P121" s="112" t="e">
        <f t="shared" si="1"/>
        <v>#DIV/0!</v>
      </c>
    </row>
    <row r="122" spans="1:16">
      <c r="A122">
        <v>200107</v>
      </c>
      <c r="B122" t="s">
        <v>1850</v>
      </c>
      <c r="C122" t="s">
        <v>2424</v>
      </c>
      <c r="D122" t="s">
        <v>1840</v>
      </c>
      <c r="E122" t="s">
        <v>1841</v>
      </c>
      <c r="F122" t="s">
        <v>1798</v>
      </c>
      <c r="G122" s="112">
        <v>100</v>
      </c>
      <c r="H122" s="112">
        <v>101</v>
      </c>
      <c r="I122">
        <v>20452490</v>
      </c>
      <c r="J122" s="113">
        <v>4573244730072</v>
      </c>
      <c r="K122" s="113">
        <v>2100204524901</v>
      </c>
      <c r="L122">
        <v>3</v>
      </c>
      <c r="N122" t="s">
        <v>1861</v>
      </c>
      <c r="P122" s="112" t="e">
        <f t="shared" si="1"/>
        <v>#DIV/0!</v>
      </c>
    </row>
    <row r="123" spans="1:16">
      <c r="A123">
        <v>200108</v>
      </c>
      <c r="B123" t="s">
        <v>1850</v>
      </c>
      <c r="C123" t="s">
        <v>2424</v>
      </c>
      <c r="D123" t="s">
        <v>1222</v>
      </c>
      <c r="E123" t="s">
        <v>1223</v>
      </c>
      <c r="F123" t="s">
        <v>1798</v>
      </c>
      <c r="G123" s="112">
        <v>100</v>
      </c>
      <c r="H123" s="112">
        <v>101</v>
      </c>
      <c r="I123">
        <v>20452506</v>
      </c>
      <c r="J123" s="113">
        <v>4573244730089</v>
      </c>
      <c r="K123" s="113">
        <v>2100204525069</v>
      </c>
      <c r="L123">
        <v>3</v>
      </c>
      <c r="N123" t="s">
        <v>1861</v>
      </c>
      <c r="P123" s="112" t="e">
        <f t="shared" si="1"/>
        <v>#DIV/0!</v>
      </c>
    </row>
    <row r="124" spans="1:16">
      <c r="A124">
        <v>200109</v>
      </c>
      <c r="B124" t="s">
        <v>1850</v>
      </c>
      <c r="C124" t="s">
        <v>2424</v>
      </c>
      <c r="D124" t="s">
        <v>1804</v>
      </c>
      <c r="E124" t="s">
        <v>1805</v>
      </c>
      <c r="F124" t="s">
        <v>1798</v>
      </c>
      <c r="G124" s="112">
        <v>100</v>
      </c>
      <c r="H124" s="112">
        <v>101</v>
      </c>
      <c r="I124">
        <v>20452513</v>
      </c>
      <c r="J124" s="113">
        <v>4573244730096</v>
      </c>
      <c r="K124" s="113">
        <v>2100204525137</v>
      </c>
      <c r="L124">
        <v>3</v>
      </c>
      <c r="N124" t="s">
        <v>1861</v>
      </c>
      <c r="P124" s="112" t="e">
        <f t="shared" si="1"/>
        <v>#DIV/0!</v>
      </c>
    </row>
    <row r="125" spans="1:16">
      <c r="A125">
        <v>200110</v>
      </c>
      <c r="B125" t="s">
        <v>1850</v>
      </c>
      <c r="C125" t="s">
        <v>2424</v>
      </c>
      <c r="D125" t="s">
        <v>1211</v>
      </c>
      <c r="E125" t="s">
        <v>1802</v>
      </c>
      <c r="F125" t="s">
        <v>1798</v>
      </c>
      <c r="G125" s="112">
        <v>100</v>
      </c>
      <c r="H125" s="112">
        <v>101</v>
      </c>
      <c r="I125">
        <v>20452520</v>
      </c>
      <c r="J125" s="113">
        <v>4573244730102</v>
      </c>
      <c r="K125" s="113">
        <v>2100204525205</v>
      </c>
      <c r="L125">
        <v>1</v>
      </c>
      <c r="N125" t="s">
        <v>1860</v>
      </c>
      <c r="P125" s="112" t="e">
        <f t="shared" si="1"/>
        <v>#DIV/0!</v>
      </c>
    </row>
    <row r="126" spans="1:16">
      <c r="A126">
        <v>200111</v>
      </c>
      <c r="B126" t="s">
        <v>1850</v>
      </c>
      <c r="C126" t="s">
        <v>2424</v>
      </c>
      <c r="D126" t="s">
        <v>1808</v>
      </c>
      <c r="E126" t="s">
        <v>1809</v>
      </c>
      <c r="F126" t="s">
        <v>1798</v>
      </c>
      <c r="G126" s="112">
        <v>100</v>
      </c>
      <c r="H126" s="112">
        <v>101</v>
      </c>
      <c r="I126">
        <v>20461942</v>
      </c>
      <c r="J126" s="113">
        <v>4573244730126</v>
      </c>
      <c r="L126">
        <v>8</v>
      </c>
      <c r="N126" t="s">
        <v>1860</v>
      </c>
      <c r="P126" s="112" t="e">
        <f t="shared" si="1"/>
        <v>#DIV/0!</v>
      </c>
    </row>
    <row r="127" spans="1:16">
      <c r="A127">
        <v>199999</v>
      </c>
      <c r="B127" t="s">
        <v>1850</v>
      </c>
      <c r="C127" t="s">
        <v>1951</v>
      </c>
      <c r="D127" t="s">
        <v>1951</v>
      </c>
      <c r="E127" t="s">
        <v>1951</v>
      </c>
      <c r="F127" t="s">
        <v>1201</v>
      </c>
      <c r="G127" s="112">
        <v>100</v>
      </c>
      <c r="H127" s="112">
        <v>101</v>
      </c>
      <c r="I127">
        <v>50900008</v>
      </c>
      <c r="J127" s="113">
        <v>2100509000087</v>
      </c>
      <c r="L127">
        <v>1</v>
      </c>
      <c r="P127" s="112" t="e">
        <f t="shared" si="1"/>
        <v>#DIV/0!</v>
      </c>
    </row>
    <row r="128" spans="1:16">
      <c r="A128">
        <v>110001</v>
      </c>
      <c r="B128" t="s">
        <v>1930</v>
      </c>
      <c r="C128" t="s">
        <v>2432</v>
      </c>
      <c r="D128" t="s">
        <v>1931</v>
      </c>
      <c r="E128" t="s">
        <v>1836</v>
      </c>
      <c r="F128" t="s">
        <v>1201</v>
      </c>
      <c r="G128" s="112">
        <v>100</v>
      </c>
      <c r="H128" s="112">
        <v>101</v>
      </c>
      <c r="I128">
        <v>5937</v>
      </c>
      <c r="J128" s="113">
        <v>4957017800016</v>
      </c>
      <c r="L128">
        <v>48</v>
      </c>
      <c r="M128">
        <v>25</v>
      </c>
      <c r="N128" t="s">
        <v>1851</v>
      </c>
      <c r="P128" s="112">
        <f t="shared" si="1"/>
        <v>4</v>
      </c>
    </row>
    <row r="129" spans="1:16">
      <c r="A129">
        <v>130001</v>
      </c>
      <c r="B129" t="s">
        <v>1942</v>
      </c>
      <c r="C129" t="s">
        <v>2433</v>
      </c>
      <c r="D129" t="s">
        <v>1943</v>
      </c>
      <c r="E129" t="s">
        <v>1944</v>
      </c>
      <c r="F129" t="s">
        <v>1201</v>
      </c>
      <c r="G129" s="112">
        <v>100</v>
      </c>
      <c r="H129" s="112">
        <v>101</v>
      </c>
      <c r="I129">
        <v>524472</v>
      </c>
      <c r="L129">
        <v>104</v>
      </c>
      <c r="N129" t="s">
        <v>1851</v>
      </c>
      <c r="P129" s="112" t="e">
        <f t="shared" si="1"/>
        <v>#DIV/0!</v>
      </c>
    </row>
    <row r="130" spans="1:16">
      <c r="A130">
        <v>130002</v>
      </c>
      <c r="B130" t="s">
        <v>1942</v>
      </c>
      <c r="C130" t="s">
        <v>2433</v>
      </c>
      <c r="D130" t="s">
        <v>1945</v>
      </c>
      <c r="E130" t="s">
        <v>1946</v>
      </c>
      <c r="F130" t="s">
        <v>1201</v>
      </c>
      <c r="G130" s="112">
        <v>100</v>
      </c>
      <c r="H130" s="112">
        <v>101</v>
      </c>
      <c r="I130">
        <v>502901</v>
      </c>
      <c r="L130">
        <v>120</v>
      </c>
      <c r="N130" t="s">
        <v>1851</v>
      </c>
      <c r="P130" s="112" t="e">
        <f t="shared" si="1"/>
        <v>#DIV/0!</v>
      </c>
    </row>
    <row r="131" spans="1:16">
      <c r="A131">
        <v>130003</v>
      </c>
      <c r="B131" t="s">
        <v>1942</v>
      </c>
      <c r="C131" t="s">
        <v>2433</v>
      </c>
      <c r="D131" t="s">
        <v>1947</v>
      </c>
      <c r="E131" t="s">
        <v>1948</v>
      </c>
      <c r="F131" t="s">
        <v>1201</v>
      </c>
      <c r="G131" s="112">
        <v>100</v>
      </c>
      <c r="H131" s="112">
        <v>101</v>
      </c>
      <c r="I131">
        <v>185968</v>
      </c>
      <c r="J131" s="113">
        <v>4951482185968</v>
      </c>
      <c r="L131">
        <v>50</v>
      </c>
      <c r="N131" t="s">
        <v>1851</v>
      </c>
      <c r="P131" s="112" t="e">
        <f t="shared" ref="P131:P194" si="2">G131/M131</f>
        <v>#DIV/0!</v>
      </c>
    </row>
    <row r="132" spans="1:16">
      <c r="A132">
        <v>130004</v>
      </c>
      <c r="B132" t="s">
        <v>1942</v>
      </c>
      <c r="C132" t="s">
        <v>2433</v>
      </c>
      <c r="D132" t="s">
        <v>1949</v>
      </c>
      <c r="E132" t="s">
        <v>1944</v>
      </c>
      <c r="F132" t="s">
        <v>1201</v>
      </c>
      <c r="G132" s="112">
        <v>100</v>
      </c>
      <c r="H132" s="112">
        <v>101</v>
      </c>
      <c r="N132" t="s">
        <v>1851</v>
      </c>
      <c r="P132" s="112" t="e">
        <f t="shared" si="2"/>
        <v>#DIV/0!</v>
      </c>
    </row>
    <row r="133" spans="1:16">
      <c r="A133">
        <v>130005</v>
      </c>
      <c r="B133" t="s">
        <v>1942</v>
      </c>
      <c r="C133" t="s">
        <v>2433</v>
      </c>
      <c r="D133" t="s">
        <v>1950</v>
      </c>
      <c r="E133" t="s">
        <v>1944</v>
      </c>
      <c r="F133" t="s">
        <v>1201</v>
      </c>
      <c r="G133" s="112">
        <v>100</v>
      </c>
      <c r="H133" s="112">
        <v>101</v>
      </c>
      <c r="N133" t="s">
        <v>1851</v>
      </c>
      <c r="P133" s="112" t="e">
        <f t="shared" si="2"/>
        <v>#DIV/0!</v>
      </c>
    </row>
    <row r="134" spans="1:16">
      <c r="A134">
        <v>200112</v>
      </c>
      <c r="B134" t="s">
        <v>1850</v>
      </c>
      <c r="C134" t="s">
        <v>2424</v>
      </c>
      <c r="D134" t="s">
        <v>1838</v>
      </c>
      <c r="E134" t="s">
        <v>1839</v>
      </c>
      <c r="F134" t="s">
        <v>1798</v>
      </c>
      <c r="G134" s="112">
        <v>100</v>
      </c>
      <c r="H134" s="112">
        <v>101</v>
      </c>
      <c r="I134">
        <v>20461959</v>
      </c>
      <c r="J134" s="113">
        <v>4573244730133</v>
      </c>
      <c r="L134">
        <v>5</v>
      </c>
      <c r="N134" t="s">
        <v>1861</v>
      </c>
      <c r="P134" s="112" t="e">
        <f t="shared" si="2"/>
        <v>#DIV/0!</v>
      </c>
    </row>
    <row r="135" spans="1:16">
      <c r="A135">
        <v>200113</v>
      </c>
      <c r="B135" t="s">
        <v>1850</v>
      </c>
      <c r="C135" t="s">
        <v>2424</v>
      </c>
      <c r="D135" t="s">
        <v>1833</v>
      </c>
      <c r="E135" t="s">
        <v>1834</v>
      </c>
      <c r="F135" t="s">
        <v>1798</v>
      </c>
      <c r="G135" s="112">
        <v>100</v>
      </c>
      <c r="H135" s="112">
        <v>101</v>
      </c>
      <c r="I135">
        <v>20461966</v>
      </c>
      <c r="J135" s="113">
        <v>4573244730140</v>
      </c>
      <c r="L135">
        <v>1</v>
      </c>
      <c r="N135" t="s">
        <v>1860</v>
      </c>
      <c r="P135" s="112" t="e">
        <f t="shared" si="2"/>
        <v>#DIV/0!</v>
      </c>
    </row>
    <row r="136" spans="1:16">
      <c r="A136">
        <v>200201</v>
      </c>
      <c r="B136" t="s">
        <v>1850</v>
      </c>
      <c r="C136" t="s">
        <v>2425</v>
      </c>
      <c r="D136" t="s">
        <v>1862</v>
      </c>
      <c r="E136" t="s">
        <v>2030</v>
      </c>
      <c r="F136" t="s">
        <v>1798</v>
      </c>
      <c r="G136" s="112">
        <v>100</v>
      </c>
      <c r="H136" s="112">
        <v>101</v>
      </c>
      <c r="I136">
        <v>20503994</v>
      </c>
      <c r="J136" s="113">
        <v>2100205039947</v>
      </c>
      <c r="K136" s="113">
        <v>2100205039947</v>
      </c>
      <c r="L136">
        <v>36</v>
      </c>
      <c r="M136">
        <v>7</v>
      </c>
      <c r="N136" t="s">
        <v>1863</v>
      </c>
      <c r="P136" s="112">
        <f t="shared" si="2"/>
        <v>14.285714285714286</v>
      </c>
    </row>
    <row r="137" spans="1:16">
      <c r="A137">
        <v>200202</v>
      </c>
      <c r="B137" t="s">
        <v>1850</v>
      </c>
      <c r="C137" t="s">
        <v>2425</v>
      </c>
      <c r="D137" t="s">
        <v>1864</v>
      </c>
      <c r="E137" t="s">
        <v>2026</v>
      </c>
      <c r="F137" t="s">
        <v>1798</v>
      </c>
      <c r="G137" s="112">
        <v>100</v>
      </c>
      <c r="H137" s="112">
        <v>101</v>
      </c>
      <c r="I137">
        <v>20504007</v>
      </c>
      <c r="J137" s="113">
        <v>2100205040073</v>
      </c>
      <c r="K137" s="113">
        <v>2100205040073</v>
      </c>
      <c r="L137">
        <v>27</v>
      </c>
      <c r="M137">
        <v>12</v>
      </c>
      <c r="N137" t="s">
        <v>1863</v>
      </c>
      <c r="P137" s="112">
        <f t="shared" si="2"/>
        <v>8.3333333333333339</v>
      </c>
    </row>
    <row r="138" spans="1:16">
      <c r="A138">
        <v>200203</v>
      </c>
      <c r="B138" t="s">
        <v>1850</v>
      </c>
      <c r="C138" t="s">
        <v>2425</v>
      </c>
      <c r="D138" t="s">
        <v>1865</v>
      </c>
      <c r="E138" t="s">
        <v>2027</v>
      </c>
      <c r="F138" t="s">
        <v>1798</v>
      </c>
      <c r="G138" s="112">
        <v>100</v>
      </c>
      <c r="H138" s="112">
        <v>101</v>
      </c>
      <c r="I138">
        <v>20504014</v>
      </c>
      <c r="J138" s="113">
        <v>2100205040141</v>
      </c>
      <c r="K138" s="113">
        <v>2100205040141</v>
      </c>
      <c r="L138">
        <v>21</v>
      </c>
      <c r="M138">
        <v>19</v>
      </c>
      <c r="N138" t="s">
        <v>1863</v>
      </c>
      <c r="P138" s="112">
        <f t="shared" si="2"/>
        <v>5.2631578947368425</v>
      </c>
    </row>
    <row r="139" spans="1:16">
      <c r="A139">
        <v>200204</v>
      </c>
      <c r="B139" t="s">
        <v>1850</v>
      </c>
      <c r="C139" t="s">
        <v>2425</v>
      </c>
      <c r="D139" t="s">
        <v>1866</v>
      </c>
      <c r="E139" t="s">
        <v>1991</v>
      </c>
      <c r="F139" t="s">
        <v>1798</v>
      </c>
      <c r="G139" s="112">
        <v>100</v>
      </c>
      <c r="H139" s="112">
        <v>101</v>
      </c>
      <c r="I139">
        <v>20504021</v>
      </c>
      <c r="J139" s="113">
        <v>2100205040219</v>
      </c>
      <c r="K139" s="113">
        <v>2100205040219</v>
      </c>
      <c r="L139">
        <v>10</v>
      </c>
      <c r="M139">
        <v>25</v>
      </c>
      <c r="N139" t="s">
        <v>1863</v>
      </c>
      <c r="P139" s="112">
        <f t="shared" si="2"/>
        <v>4</v>
      </c>
    </row>
    <row r="140" spans="1:16">
      <c r="A140">
        <v>200205</v>
      </c>
      <c r="B140" t="s">
        <v>1850</v>
      </c>
      <c r="C140" t="s">
        <v>2425</v>
      </c>
      <c r="D140" t="s">
        <v>1867</v>
      </c>
      <c r="E140" t="s">
        <v>1997</v>
      </c>
      <c r="F140" t="s">
        <v>1798</v>
      </c>
      <c r="G140" s="112">
        <v>100</v>
      </c>
      <c r="H140" s="112">
        <v>101</v>
      </c>
      <c r="I140">
        <v>20504038</v>
      </c>
      <c r="J140" s="113">
        <v>2100205040387</v>
      </c>
      <c r="K140" s="113">
        <v>2100205040387</v>
      </c>
      <c r="L140">
        <v>10</v>
      </c>
      <c r="M140">
        <v>33</v>
      </c>
      <c r="N140" t="s">
        <v>1863</v>
      </c>
      <c r="P140" s="112">
        <f t="shared" si="2"/>
        <v>3.0303030303030303</v>
      </c>
    </row>
    <row r="141" spans="1:16">
      <c r="A141">
        <v>200206</v>
      </c>
      <c r="B141" t="s">
        <v>1850</v>
      </c>
      <c r="C141" t="s">
        <v>2425</v>
      </c>
      <c r="D141" t="s">
        <v>1868</v>
      </c>
      <c r="E141" t="s">
        <v>2021</v>
      </c>
      <c r="F141" t="s">
        <v>1798</v>
      </c>
      <c r="G141" s="112">
        <v>100</v>
      </c>
      <c r="H141" s="112">
        <v>101</v>
      </c>
      <c r="I141">
        <v>20504045</v>
      </c>
      <c r="J141" s="113">
        <v>2100205040455</v>
      </c>
      <c r="K141" s="113">
        <v>2100205040455</v>
      </c>
      <c r="L141">
        <v>3</v>
      </c>
      <c r="M141">
        <v>53</v>
      </c>
      <c r="N141" t="s">
        <v>1863</v>
      </c>
      <c r="P141" s="112">
        <f t="shared" si="2"/>
        <v>1.8867924528301887</v>
      </c>
    </row>
    <row r="142" spans="1:16">
      <c r="A142">
        <v>200207</v>
      </c>
      <c r="B142" t="s">
        <v>1850</v>
      </c>
      <c r="C142" t="s">
        <v>2425</v>
      </c>
      <c r="D142" t="s">
        <v>1869</v>
      </c>
      <c r="E142" t="s">
        <v>2051</v>
      </c>
      <c r="F142" t="s">
        <v>1798</v>
      </c>
      <c r="G142" s="112">
        <v>100</v>
      </c>
      <c r="H142" s="112">
        <v>101</v>
      </c>
      <c r="I142">
        <v>20504052</v>
      </c>
      <c r="J142" s="113">
        <v>2100205040523</v>
      </c>
      <c r="K142" s="113">
        <v>2100205040523</v>
      </c>
      <c r="L142">
        <v>3</v>
      </c>
      <c r="M142">
        <v>76</v>
      </c>
      <c r="N142" t="s">
        <v>1863</v>
      </c>
      <c r="P142" s="112">
        <f t="shared" si="2"/>
        <v>1.3157894736842106</v>
      </c>
    </row>
    <row r="143" spans="1:16">
      <c r="A143">
        <v>200208</v>
      </c>
      <c r="B143" t="s">
        <v>1850</v>
      </c>
      <c r="C143" t="s">
        <v>2425</v>
      </c>
      <c r="D143" t="s">
        <v>1870</v>
      </c>
      <c r="E143" t="s">
        <v>2024</v>
      </c>
      <c r="F143" t="s">
        <v>1798</v>
      </c>
      <c r="G143" s="112">
        <v>100</v>
      </c>
      <c r="H143" s="112">
        <v>101</v>
      </c>
      <c r="I143">
        <v>20504069</v>
      </c>
      <c r="J143" s="113">
        <v>2100205040691</v>
      </c>
      <c r="K143" s="113">
        <v>2100205040691</v>
      </c>
      <c r="L143">
        <v>10</v>
      </c>
      <c r="M143">
        <v>4</v>
      </c>
      <c r="N143" t="s">
        <v>1863</v>
      </c>
      <c r="P143" s="112">
        <f t="shared" si="2"/>
        <v>25</v>
      </c>
    </row>
    <row r="144" spans="1:16">
      <c r="A144">
        <v>200209</v>
      </c>
      <c r="B144" t="s">
        <v>1850</v>
      </c>
      <c r="C144" t="s">
        <v>2425</v>
      </c>
      <c r="D144" t="s">
        <v>1871</v>
      </c>
      <c r="E144" t="s">
        <v>2031</v>
      </c>
      <c r="F144" t="s">
        <v>1798</v>
      </c>
      <c r="G144" s="112">
        <v>100</v>
      </c>
      <c r="H144" s="112">
        <v>101</v>
      </c>
      <c r="I144">
        <v>20504076</v>
      </c>
      <c r="J144" s="113">
        <v>2100205040769</v>
      </c>
      <c r="K144" s="113">
        <v>2100205040769</v>
      </c>
      <c r="L144">
        <v>10</v>
      </c>
      <c r="M144">
        <v>6</v>
      </c>
      <c r="N144" t="s">
        <v>1863</v>
      </c>
      <c r="P144" s="112">
        <f t="shared" si="2"/>
        <v>16.666666666666668</v>
      </c>
    </row>
    <row r="145" spans="1:16">
      <c r="A145">
        <v>200210</v>
      </c>
      <c r="B145" t="s">
        <v>1850</v>
      </c>
      <c r="C145" t="s">
        <v>2425</v>
      </c>
      <c r="D145" t="s">
        <v>1872</v>
      </c>
      <c r="E145" t="s">
        <v>2015</v>
      </c>
      <c r="F145" t="s">
        <v>1798</v>
      </c>
      <c r="G145" s="112">
        <v>100</v>
      </c>
      <c r="H145" s="112">
        <v>101</v>
      </c>
      <c r="I145">
        <v>20504083</v>
      </c>
      <c r="J145" s="113">
        <v>2100205040837</v>
      </c>
      <c r="K145" s="113">
        <v>2100205040837</v>
      </c>
      <c r="L145">
        <v>10</v>
      </c>
      <c r="M145">
        <v>8</v>
      </c>
      <c r="N145" t="s">
        <v>1863</v>
      </c>
      <c r="P145" s="112">
        <f t="shared" si="2"/>
        <v>12.5</v>
      </c>
    </row>
    <row r="146" spans="1:16">
      <c r="A146">
        <v>200211</v>
      </c>
      <c r="B146" t="s">
        <v>1850</v>
      </c>
      <c r="C146" t="s">
        <v>2425</v>
      </c>
      <c r="D146" t="s">
        <v>1873</v>
      </c>
      <c r="E146" t="s">
        <v>2011</v>
      </c>
      <c r="F146" t="s">
        <v>1798</v>
      </c>
      <c r="G146" s="112">
        <v>100</v>
      </c>
      <c r="H146" s="112">
        <v>101</v>
      </c>
      <c r="I146">
        <v>20504090</v>
      </c>
      <c r="J146" s="113">
        <v>2100205040905</v>
      </c>
      <c r="K146" s="113">
        <v>2100205040905</v>
      </c>
      <c r="L146">
        <v>10</v>
      </c>
      <c r="M146">
        <v>10</v>
      </c>
      <c r="N146" t="s">
        <v>1863</v>
      </c>
      <c r="P146" s="112">
        <f t="shared" si="2"/>
        <v>10</v>
      </c>
    </row>
    <row r="147" spans="1:16">
      <c r="A147">
        <v>200212</v>
      </c>
      <c r="B147" t="s">
        <v>1850</v>
      </c>
      <c r="C147" t="s">
        <v>2425</v>
      </c>
      <c r="D147" t="s">
        <v>1874</v>
      </c>
      <c r="E147" t="s">
        <v>1998</v>
      </c>
      <c r="F147" t="s">
        <v>1798</v>
      </c>
      <c r="G147" s="112">
        <v>100</v>
      </c>
      <c r="H147" s="112">
        <v>101</v>
      </c>
      <c r="I147">
        <v>20504106</v>
      </c>
      <c r="J147" s="113">
        <v>2100205041063</v>
      </c>
      <c r="K147" s="113">
        <v>2100205041063</v>
      </c>
      <c r="L147">
        <v>10</v>
      </c>
      <c r="M147">
        <v>13</v>
      </c>
      <c r="N147" t="s">
        <v>1863</v>
      </c>
      <c r="P147" s="112">
        <f t="shared" si="2"/>
        <v>7.6923076923076925</v>
      </c>
    </row>
    <row r="148" spans="1:16">
      <c r="A148">
        <v>200213</v>
      </c>
      <c r="B148" t="s">
        <v>1850</v>
      </c>
      <c r="C148" t="s">
        <v>2425</v>
      </c>
      <c r="D148" t="s">
        <v>1875</v>
      </c>
      <c r="E148" t="s">
        <v>2009</v>
      </c>
      <c r="F148" t="s">
        <v>1798</v>
      </c>
      <c r="G148" s="112">
        <v>100</v>
      </c>
      <c r="H148" s="112">
        <v>101</v>
      </c>
      <c r="I148">
        <v>20504113</v>
      </c>
      <c r="J148" s="113">
        <v>2100205041131</v>
      </c>
      <c r="K148" s="113">
        <v>2100205041131</v>
      </c>
      <c r="L148">
        <v>5</v>
      </c>
      <c r="M148">
        <v>19</v>
      </c>
      <c r="N148" t="s">
        <v>1863</v>
      </c>
      <c r="P148" s="112">
        <f t="shared" si="2"/>
        <v>5.2631578947368425</v>
      </c>
    </row>
    <row r="149" spans="1:16">
      <c r="A149">
        <v>200214</v>
      </c>
      <c r="B149" t="s">
        <v>1850</v>
      </c>
      <c r="C149" t="s">
        <v>2425</v>
      </c>
      <c r="D149" t="s">
        <v>1876</v>
      </c>
      <c r="E149" t="s">
        <v>2013</v>
      </c>
      <c r="F149" t="s">
        <v>1798</v>
      </c>
      <c r="G149" s="112">
        <v>100</v>
      </c>
      <c r="H149" s="112">
        <v>101</v>
      </c>
      <c r="I149">
        <v>20504120</v>
      </c>
      <c r="J149" s="113">
        <v>2100205041209</v>
      </c>
      <c r="K149" s="113">
        <v>2100205041209</v>
      </c>
      <c r="L149">
        <v>5</v>
      </c>
      <c r="M149">
        <v>32</v>
      </c>
      <c r="N149" t="s">
        <v>1863</v>
      </c>
      <c r="P149" s="112">
        <f t="shared" si="2"/>
        <v>3.125</v>
      </c>
    </row>
    <row r="150" spans="1:16">
      <c r="A150">
        <v>200215</v>
      </c>
      <c r="B150" t="s">
        <v>1850</v>
      </c>
      <c r="C150" t="s">
        <v>2425</v>
      </c>
      <c r="D150" t="s">
        <v>1877</v>
      </c>
      <c r="E150" t="s">
        <v>2029</v>
      </c>
      <c r="F150" t="s">
        <v>1798</v>
      </c>
      <c r="G150" s="112">
        <v>100</v>
      </c>
      <c r="H150" s="112">
        <v>101</v>
      </c>
      <c r="I150">
        <v>20504137</v>
      </c>
      <c r="J150" s="113">
        <v>2100205041377</v>
      </c>
      <c r="K150" s="113">
        <v>2100205041377</v>
      </c>
      <c r="L150">
        <v>33</v>
      </c>
      <c r="M150">
        <v>12</v>
      </c>
      <c r="N150" t="s">
        <v>1863</v>
      </c>
      <c r="P150" s="112">
        <f t="shared" si="2"/>
        <v>8.3333333333333339</v>
      </c>
    </row>
    <row r="151" spans="1:16">
      <c r="A151">
        <v>200216</v>
      </c>
      <c r="B151" t="s">
        <v>1850</v>
      </c>
      <c r="C151" t="s">
        <v>2425</v>
      </c>
      <c r="D151" t="s">
        <v>1848</v>
      </c>
      <c r="E151" t="s">
        <v>1988</v>
      </c>
      <c r="F151" t="s">
        <v>1798</v>
      </c>
      <c r="G151" s="112">
        <v>100</v>
      </c>
      <c r="H151" s="112">
        <v>101</v>
      </c>
      <c r="I151">
        <v>20504144</v>
      </c>
      <c r="J151" s="113">
        <v>2100205041445</v>
      </c>
      <c r="K151" s="113">
        <v>2100205041445</v>
      </c>
      <c r="L151">
        <v>27</v>
      </c>
      <c r="M151">
        <v>20</v>
      </c>
      <c r="N151" t="s">
        <v>1863</v>
      </c>
      <c r="P151" s="112">
        <f t="shared" si="2"/>
        <v>5</v>
      </c>
    </row>
    <row r="152" spans="1:16">
      <c r="A152">
        <v>200217</v>
      </c>
      <c r="B152" t="s">
        <v>1850</v>
      </c>
      <c r="C152" t="s">
        <v>2425</v>
      </c>
      <c r="D152" t="s">
        <v>1878</v>
      </c>
      <c r="E152" t="s">
        <v>2033</v>
      </c>
      <c r="F152" t="s">
        <v>1798</v>
      </c>
      <c r="G152" s="112">
        <v>100</v>
      </c>
      <c r="H152" s="112">
        <v>101</v>
      </c>
      <c r="I152">
        <v>20504151</v>
      </c>
      <c r="J152" s="113">
        <v>2100205041513</v>
      </c>
      <c r="K152" s="113">
        <v>2100205041513</v>
      </c>
      <c r="L152">
        <v>21</v>
      </c>
      <c r="M152">
        <v>30</v>
      </c>
      <c r="N152" t="s">
        <v>1863</v>
      </c>
      <c r="P152" s="112">
        <f t="shared" si="2"/>
        <v>3.3333333333333335</v>
      </c>
    </row>
    <row r="153" spans="1:16">
      <c r="A153">
        <v>200218</v>
      </c>
      <c r="B153" t="s">
        <v>1850</v>
      </c>
      <c r="C153" t="s">
        <v>2425</v>
      </c>
      <c r="D153" t="s">
        <v>1879</v>
      </c>
      <c r="E153" t="s">
        <v>1992</v>
      </c>
      <c r="F153" t="s">
        <v>1798</v>
      </c>
      <c r="G153" s="112">
        <v>100</v>
      </c>
      <c r="H153" s="112">
        <v>101</v>
      </c>
      <c r="I153">
        <v>20504168</v>
      </c>
      <c r="J153" s="113">
        <v>2100205041681</v>
      </c>
      <c r="K153" s="113">
        <v>2100205041681</v>
      </c>
      <c r="L153">
        <v>10</v>
      </c>
      <c r="M153">
        <v>39</v>
      </c>
      <c r="N153" t="s">
        <v>1863</v>
      </c>
      <c r="P153" s="112">
        <f t="shared" si="2"/>
        <v>2.5641025641025643</v>
      </c>
    </row>
    <row r="154" spans="1:16">
      <c r="A154">
        <v>200219</v>
      </c>
      <c r="B154" t="s">
        <v>1850</v>
      </c>
      <c r="C154" t="s">
        <v>2425</v>
      </c>
      <c r="D154" t="s">
        <v>1880</v>
      </c>
      <c r="E154" t="s">
        <v>1993</v>
      </c>
      <c r="F154" t="s">
        <v>1798</v>
      </c>
      <c r="G154" s="112">
        <v>100</v>
      </c>
      <c r="H154" s="112">
        <v>101</v>
      </c>
      <c r="I154">
        <v>20504175</v>
      </c>
      <c r="J154" s="113">
        <v>2100205041759</v>
      </c>
      <c r="K154" s="113">
        <v>2100205041759</v>
      </c>
      <c r="L154">
        <v>1</v>
      </c>
      <c r="M154">
        <v>26</v>
      </c>
      <c r="N154" t="s">
        <v>1863</v>
      </c>
      <c r="P154" s="112">
        <f t="shared" si="2"/>
        <v>3.8461538461538463</v>
      </c>
    </row>
    <row r="155" spans="1:16">
      <c r="A155">
        <v>200220</v>
      </c>
      <c r="B155" t="s">
        <v>1850</v>
      </c>
      <c r="C155" t="s">
        <v>2425</v>
      </c>
      <c r="D155" t="s">
        <v>1881</v>
      </c>
      <c r="E155" t="s">
        <v>1986</v>
      </c>
      <c r="F155" t="s">
        <v>1798</v>
      </c>
      <c r="G155" s="112">
        <v>100</v>
      </c>
      <c r="H155" s="112">
        <v>101</v>
      </c>
      <c r="I155">
        <v>20504182</v>
      </c>
      <c r="J155" s="113">
        <v>2100205041827</v>
      </c>
      <c r="K155" s="113">
        <v>2100205041827</v>
      </c>
      <c r="L155">
        <v>1</v>
      </c>
      <c r="M155">
        <v>40</v>
      </c>
      <c r="N155" t="s">
        <v>1863</v>
      </c>
      <c r="P155" s="112">
        <f t="shared" si="2"/>
        <v>2.5</v>
      </c>
    </row>
    <row r="156" spans="1:16">
      <c r="A156">
        <v>200221</v>
      </c>
      <c r="B156" t="s">
        <v>1850</v>
      </c>
      <c r="C156" t="s">
        <v>2425</v>
      </c>
      <c r="D156" t="s">
        <v>1882</v>
      </c>
      <c r="E156" t="s">
        <v>1989</v>
      </c>
      <c r="F156" t="s">
        <v>1798</v>
      </c>
      <c r="G156" s="112">
        <v>100</v>
      </c>
      <c r="H156" s="112">
        <v>101</v>
      </c>
      <c r="I156">
        <v>20504199</v>
      </c>
      <c r="J156" s="113">
        <v>2100205041995</v>
      </c>
      <c r="K156" s="113">
        <v>2100205041995</v>
      </c>
      <c r="L156">
        <v>1</v>
      </c>
      <c r="M156">
        <v>61</v>
      </c>
      <c r="N156" t="s">
        <v>1863</v>
      </c>
      <c r="P156" s="112">
        <f t="shared" si="2"/>
        <v>1.639344262295082</v>
      </c>
    </row>
    <row r="157" spans="1:16">
      <c r="A157">
        <v>200222</v>
      </c>
      <c r="B157" t="s">
        <v>1850</v>
      </c>
      <c r="C157" t="s">
        <v>2425</v>
      </c>
      <c r="D157" t="s">
        <v>1883</v>
      </c>
      <c r="E157" t="s">
        <v>2002</v>
      </c>
      <c r="F157" t="s">
        <v>1798</v>
      </c>
      <c r="G157" s="112">
        <v>100</v>
      </c>
      <c r="H157" s="112">
        <v>101</v>
      </c>
      <c r="I157">
        <v>20504205</v>
      </c>
      <c r="J157" s="113">
        <v>2100205042053</v>
      </c>
      <c r="K157" s="113">
        <v>2100205042053</v>
      </c>
      <c r="L157">
        <v>2</v>
      </c>
      <c r="M157">
        <v>5</v>
      </c>
      <c r="N157" t="s">
        <v>1863</v>
      </c>
      <c r="P157" s="112">
        <f t="shared" si="2"/>
        <v>20</v>
      </c>
    </row>
    <row r="158" spans="1:16">
      <c r="A158">
        <v>200223</v>
      </c>
      <c r="B158" t="s">
        <v>1850</v>
      </c>
      <c r="C158" t="s">
        <v>2425</v>
      </c>
      <c r="D158" t="s">
        <v>1884</v>
      </c>
      <c r="E158" t="s">
        <v>1994</v>
      </c>
      <c r="F158" t="s">
        <v>1798</v>
      </c>
      <c r="G158" s="112">
        <v>100</v>
      </c>
      <c r="H158" s="112">
        <v>101</v>
      </c>
      <c r="I158">
        <v>20504212</v>
      </c>
      <c r="J158" s="113">
        <v>2100205042121</v>
      </c>
      <c r="K158" s="113">
        <v>2100205042121</v>
      </c>
      <c r="L158">
        <v>2</v>
      </c>
      <c r="M158">
        <v>8</v>
      </c>
      <c r="N158" t="s">
        <v>1863</v>
      </c>
      <c r="P158" s="112">
        <f t="shared" si="2"/>
        <v>12.5</v>
      </c>
    </row>
    <row r="159" spans="1:16">
      <c r="A159">
        <v>200224</v>
      </c>
      <c r="B159" t="s">
        <v>1850</v>
      </c>
      <c r="C159" t="s">
        <v>2425</v>
      </c>
      <c r="D159" t="s">
        <v>1885</v>
      </c>
      <c r="E159" t="s">
        <v>1990</v>
      </c>
      <c r="F159" t="s">
        <v>1798</v>
      </c>
      <c r="G159" s="112">
        <v>100</v>
      </c>
      <c r="H159" s="112">
        <v>101</v>
      </c>
      <c r="I159">
        <v>20504229</v>
      </c>
      <c r="J159" s="113">
        <v>2100205042299</v>
      </c>
      <c r="K159" s="113">
        <v>2100205042299</v>
      </c>
      <c r="L159">
        <v>2</v>
      </c>
      <c r="M159">
        <v>12</v>
      </c>
      <c r="N159" t="s">
        <v>1863</v>
      </c>
      <c r="P159" s="112">
        <f t="shared" si="2"/>
        <v>8.3333333333333339</v>
      </c>
    </row>
    <row r="160" spans="1:16">
      <c r="A160">
        <v>200225</v>
      </c>
      <c r="B160" t="s">
        <v>1850</v>
      </c>
      <c r="C160" t="s">
        <v>2425</v>
      </c>
      <c r="D160" t="s">
        <v>1886</v>
      </c>
      <c r="E160" t="s">
        <v>1995</v>
      </c>
      <c r="F160" t="s">
        <v>1798</v>
      </c>
      <c r="G160" s="112">
        <v>100</v>
      </c>
      <c r="H160" s="112">
        <v>101</v>
      </c>
      <c r="I160">
        <v>20504236</v>
      </c>
      <c r="J160" s="113">
        <v>2100205042367</v>
      </c>
      <c r="K160" s="113">
        <v>2100205042367</v>
      </c>
      <c r="L160">
        <v>2</v>
      </c>
      <c r="M160">
        <v>14</v>
      </c>
      <c r="N160" t="s">
        <v>1863</v>
      </c>
      <c r="P160" s="112">
        <f t="shared" si="2"/>
        <v>7.1428571428571432</v>
      </c>
    </row>
    <row r="161" spans="1:16">
      <c r="A161">
        <v>200226</v>
      </c>
      <c r="B161" t="s">
        <v>1850</v>
      </c>
      <c r="C161" t="s">
        <v>2425</v>
      </c>
      <c r="D161" t="s">
        <v>1887</v>
      </c>
      <c r="E161" t="s">
        <v>2016</v>
      </c>
      <c r="F161" t="s">
        <v>1798</v>
      </c>
      <c r="G161" s="112">
        <v>100</v>
      </c>
      <c r="H161" s="112">
        <v>101</v>
      </c>
      <c r="I161">
        <v>20504243</v>
      </c>
      <c r="J161" s="113">
        <v>2100205042435</v>
      </c>
      <c r="K161" s="113">
        <v>2100205042435</v>
      </c>
      <c r="L161">
        <v>2</v>
      </c>
      <c r="M161">
        <v>19</v>
      </c>
      <c r="N161" t="s">
        <v>1863</v>
      </c>
      <c r="P161" s="112">
        <f t="shared" si="2"/>
        <v>5.2631578947368425</v>
      </c>
    </row>
    <row r="162" spans="1:16">
      <c r="A162">
        <v>200227</v>
      </c>
      <c r="B162" t="s">
        <v>1850</v>
      </c>
      <c r="C162" t="s">
        <v>2425</v>
      </c>
      <c r="D162" t="s">
        <v>1888</v>
      </c>
      <c r="E162" t="s">
        <v>2017</v>
      </c>
      <c r="F162" t="s">
        <v>1798</v>
      </c>
      <c r="G162" s="112">
        <v>100</v>
      </c>
      <c r="H162" s="112">
        <v>101</v>
      </c>
      <c r="I162">
        <v>20504250</v>
      </c>
      <c r="J162" s="113">
        <v>2100205042503</v>
      </c>
      <c r="K162" s="113">
        <v>2100205042503</v>
      </c>
      <c r="L162">
        <v>2</v>
      </c>
      <c r="M162">
        <v>22</v>
      </c>
      <c r="N162" t="s">
        <v>1863</v>
      </c>
      <c r="P162" s="112">
        <f t="shared" si="2"/>
        <v>4.5454545454545459</v>
      </c>
    </row>
    <row r="163" spans="1:16">
      <c r="A163">
        <v>200228</v>
      </c>
      <c r="B163" t="s">
        <v>1850</v>
      </c>
      <c r="C163" t="s">
        <v>2425</v>
      </c>
      <c r="D163" t="s">
        <v>1843</v>
      </c>
      <c r="E163" t="s">
        <v>2062</v>
      </c>
      <c r="F163" t="s">
        <v>1798</v>
      </c>
      <c r="G163" s="112">
        <v>100</v>
      </c>
      <c r="H163" s="112">
        <v>101</v>
      </c>
      <c r="I163">
        <v>20504267</v>
      </c>
      <c r="J163" s="113">
        <v>2100205042671</v>
      </c>
      <c r="K163" s="113">
        <v>2100205042671</v>
      </c>
      <c r="L163">
        <v>2</v>
      </c>
      <c r="M163">
        <v>19</v>
      </c>
      <c r="N163" t="s">
        <v>1863</v>
      </c>
      <c r="P163" s="112">
        <f t="shared" si="2"/>
        <v>5.2631578947368425</v>
      </c>
    </row>
    <row r="164" spans="1:16">
      <c r="A164">
        <v>200229</v>
      </c>
      <c r="B164" t="s">
        <v>1850</v>
      </c>
      <c r="C164" t="s">
        <v>2425</v>
      </c>
      <c r="D164" t="s">
        <v>1844</v>
      </c>
      <c r="E164" t="s">
        <v>2053</v>
      </c>
      <c r="F164" t="s">
        <v>1798</v>
      </c>
      <c r="G164" s="112">
        <v>100</v>
      </c>
      <c r="H164" s="112">
        <v>101</v>
      </c>
      <c r="I164">
        <v>20504274</v>
      </c>
      <c r="J164" s="113">
        <v>2100205042749</v>
      </c>
      <c r="K164" s="113">
        <v>2100205042749</v>
      </c>
      <c r="L164">
        <v>2</v>
      </c>
      <c r="M164">
        <v>26</v>
      </c>
      <c r="N164" t="s">
        <v>1863</v>
      </c>
      <c r="P164" s="112">
        <f t="shared" si="2"/>
        <v>3.8461538461538463</v>
      </c>
    </row>
    <row r="165" spans="1:16">
      <c r="A165">
        <v>200230</v>
      </c>
      <c r="B165" t="s">
        <v>1850</v>
      </c>
      <c r="C165" t="s">
        <v>2425</v>
      </c>
      <c r="D165" t="s">
        <v>1845</v>
      </c>
      <c r="E165" t="s">
        <v>2063</v>
      </c>
      <c r="F165" t="s">
        <v>1798</v>
      </c>
      <c r="G165" s="112">
        <v>100</v>
      </c>
      <c r="H165" s="112">
        <v>101</v>
      </c>
      <c r="I165">
        <v>20504281</v>
      </c>
      <c r="J165" s="113">
        <v>2100205042817</v>
      </c>
      <c r="K165" s="113">
        <v>2100205042817</v>
      </c>
      <c r="L165">
        <v>2</v>
      </c>
      <c r="M165">
        <v>34</v>
      </c>
      <c r="N165" t="s">
        <v>1863</v>
      </c>
      <c r="P165" s="112">
        <f t="shared" si="2"/>
        <v>2.9411764705882355</v>
      </c>
    </row>
    <row r="166" spans="1:16">
      <c r="A166">
        <v>200231</v>
      </c>
      <c r="B166" t="s">
        <v>1850</v>
      </c>
      <c r="C166" t="s">
        <v>2425</v>
      </c>
      <c r="D166" t="s">
        <v>1889</v>
      </c>
      <c r="E166" t="s">
        <v>2426</v>
      </c>
      <c r="F166" t="s">
        <v>1798</v>
      </c>
      <c r="G166" s="112">
        <v>100</v>
      </c>
      <c r="H166" s="112">
        <v>101</v>
      </c>
      <c r="I166">
        <v>20504298</v>
      </c>
      <c r="J166" s="113">
        <v>2100205042985</v>
      </c>
      <c r="K166" s="113">
        <v>2100205042985</v>
      </c>
      <c r="L166">
        <v>1</v>
      </c>
      <c r="M166">
        <v>20</v>
      </c>
      <c r="N166" t="s">
        <v>1863</v>
      </c>
      <c r="P166" s="112">
        <f t="shared" si="2"/>
        <v>5</v>
      </c>
    </row>
    <row r="167" spans="1:16">
      <c r="A167">
        <v>200232</v>
      </c>
      <c r="B167" t="s">
        <v>1850</v>
      </c>
      <c r="C167" t="s">
        <v>2425</v>
      </c>
      <c r="D167" t="s">
        <v>1890</v>
      </c>
      <c r="E167" t="s">
        <v>2427</v>
      </c>
      <c r="F167" t="s">
        <v>1798</v>
      </c>
      <c r="G167" s="112">
        <v>100</v>
      </c>
      <c r="H167" s="112">
        <v>101</v>
      </c>
      <c r="I167">
        <v>20504304</v>
      </c>
      <c r="J167" s="113">
        <v>2100205043043</v>
      </c>
      <c r="K167" s="113">
        <v>2100205043043</v>
      </c>
      <c r="L167">
        <v>1</v>
      </c>
      <c r="M167">
        <v>33</v>
      </c>
      <c r="N167" t="s">
        <v>1863</v>
      </c>
      <c r="P167" s="112">
        <f t="shared" si="2"/>
        <v>3.0303030303030303</v>
      </c>
    </row>
    <row r="168" spans="1:16">
      <c r="A168">
        <v>200233</v>
      </c>
      <c r="B168" t="s">
        <v>1850</v>
      </c>
      <c r="C168" t="s">
        <v>2425</v>
      </c>
      <c r="D168" t="s">
        <v>1891</v>
      </c>
      <c r="E168" t="s">
        <v>1987</v>
      </c>
      <c r="F168" t="s">
        <v>1798</v>
      </c>
      <c r="G168" s="112">
        <v>100</v>
      </c>
      <c r="H168" s="112">
        <v>101</v>
      </c>
      <c r="I168">
        <v>20504311</v>
      </c>
      <c r="J168" s="113">
        <v>2100205043111</v>
      </c>
      <c r="K168" s="113">
        <v>2100205043111</v>
      </c>
      <c r="L168">
        <v>40</v>
      </c>
      <c r="M168">
        <v>13</v>
      </c>
      <c r="N168" t="s">
        <v>1863</v>
      </c>
      <c r="P168" s="112">
        <f t="shared" si="2"/>
        <v>7.6923076923076925</v>
      </c>
    </row>
    <row r="169" spans="1:16">
      <c r="A169">
        <v>200234</v>
      </c>
      <c r="B169" t="s">
        <v>1850</v>
      </c>
      <c r="C169" t="s">
        <v>2425</v>
      </c>
      <c r="D169" t="s">
        <v>1892</v>
      </c>
      <c r="E169" t="s">
        <v>2018</v>
      </c>
      <c r="F169" t="s">
        <v>1798</v>
      </c>
      <c r="G169" s="112">
        <v>100</v>
      </c>
      <c r="H169" s="112">
        <v>101</v>
      </c>
      <c r="I169">
        <v>20504328</v>
      </c>
      <c r="J169" s="113">
        <v>2100205043289</v>
      </c>
      <c r="K169" s="113">
        <v>2100205043289</v>
      </c>
      <c r="L169">
        <v>30</v>
      </c>
      <c r="M169">
        <v>16</v>
      </c>
      <c r="N169" t="s">
        <v>1863</v>
      </c>
      <c r="P169" s="112">
        <f t="shared" si="2"/>
        <v>6.25</v>
      </c>
    </row>
    <row r="170" spans="1:16">
      <c r="A170">
        <v>200235</v>
      </c>
      <c r="B170" t="s">
        <v>1850</v>
      </c>
      <c r="C170" t="s">
        <v>2425</v>
      </c>
      <c r="D170" t="s">
        <v>1893</v>
      </c>
      <c r="E170" t="s">
        <v>2004</v>
      </c>
      <c r="F170" t="s">
        <v>1798</v>
      </c>
      <c r="G170" s="112">
        <v>100</v>
      </c>
      <c r="H170" s="112">
        <v>101</v>
      </c>
      <c r="I170">
        <v>20504335</v>
      </c>
      <c r="J170" s="113">
        <v>2100205043357</v>
      </c>
      <c r="K170" s="113">
        <v>2100205043357</v>
      </c>
      <c r="L170">
        <v>20</v>
      </c>
      <c r="M170">
        <v>0.09</v>
      </c>
      <c r="N170" t="s">
        <v>1863</v>
      </c>
      <c r="P170" s="112">
        <f t="shared" si="2"/>
        <v>1111.1111111111111</v>
      </c>
    </row>
    <row r="171" spans="1:16">
      <c r="A171">
        <v>200236</v>
      </c>
      <c r="B171" t="s">
        <v>1850</v>
      </c>
      <c r="C171" t="s">
        <v>2425</v>
      </c>
      <c r="D171" t="s">
        <v>1894</v>
      </c>
      <c r="E171" t="s">
        <v>2005</v>
      </c>
      <c r="F171" t="s">
        <v>1798</v>
      </c>
      <c r="G171" s="112">
        <v>100</v>
      </c>
      <c r="H171" s="112">
        <v>101</v>
      </c>
      <c r="I171">
        <v>20504342</v>
      </c>
      <c r="J171" s="113">
        <v>2100205043425</v>
      </c>
      <c r="K171" s="113">
        <v>2100205043425</v>
      </c>
      <c r="L171">
        <v>45</v>
      </c>
      <c r="M171">
        <v>14</v>
      </c>
      <c r="N171" t="s">
        <v>1863</v>
      </c>
      <c r="P171" s="112">
        <f t="shared" si="2"/>
        <v>7.1428571428571432</v>
      </c>
    </row>
    <row r="172" spans="1:16">
      <c r="A172">
        <v>200237</v>
      </c>
      <c r="B172" t="s">
        <v>1850</v>
      </c>
      <c r="C172" t="s">
        <v>2425</v>
      </c>
      <c r="D172" t="s">
        <v>1895</v>
      </c>
      <c r="E172" t="s">
        <v>2028</v>
      </c>
      <c r="F172" t="s">
        <v>1798</v>
      </c>
      <c r="G172" s="112">
        <v>100</v>
      </c>
      <c r="H172" s="112">
        <v>101</v>
      </c>
      <c r="I172">
        <v>20504359</v>
      </c>
      <c r="J172" s="113">
        <v>2100205043593</v>
      </c>
      <c r="K172" s="113">
        <v>2100205043593</v>
      </c>
      <c r="L172">
        <v>36</v>
      </c>
      <c r="M172">
        <v>17</v>
      </c>
      <c r="N172" t="s">
        <v>1863</v>
      </c>
      <c r="P172" s="112">
        <f t="shared" si="2"/>
        <v>5.882352941176471</v>
      </c>
    </row>
    <row r="173" spans="1:16">
      <c r="A173">
        <v>200238</v>
      </c>
      <c r="B173" t="s">
        <v>1850</v>
      </c>
      <c r="C173" t="s">
        <v>2425</v>
      </c>
      <c r="D173" t="s">
        <v>1896</v>
      </c>
      <c r="E173" t="s">
        <v>2025</v>
      </c>
      <c r="F173" t="s">
        <v>1798</v>
      </c>
      <c r="G173" s="112">
        <v>100</v>
      </c>
      <c r="H173" s="112">
        <v>101</v>
      </c>
      <c r="I173">
        <v>20504366</v>
      </c>
      <c r="J173" s="113">
        <v>2100205043661</v>
      </c>
      <c r="K173" s="113">
        <v>2100205043661</v>
      </c>
      <c r="L173">
        <v>27</v>
      </c>
      <c r="M173">
        <v>21</v>
      </c>
      <c r="N173" t="s">
        <v>1863</v>
      </c>
      <c r="P173" s="112">
        <f t="shared" si="2"/>
        <v>4.7619047619047619</v>
      </c>
    </row>
    <row r="174" spans="1:16">
      <c r="A174">
        <v>200239</v>
      </c>
      <c r="B174" t="s">
        <v>1850</v>
      </c>
      <c r="C174" t="s">
        <v>2425</v>
      </c>
      <c r="D174" t="s">
        <v>1897</v>
      </c>
      <c r="E174" t="s">
        <v>2428</v>
      </c>
      <c r="F174" t="s">
        <v>1798</v>
      </c>
      <c r="G174" s="112">
        <v>100</v>
      </c>
      <c r="H174" s="112">
        <v>101</v>
      </c>
      <c r="I174">
        <v>20504373</v>
      </c>
      <c r="J174" s="113">
        <v>2100205043739</v>
      </c>
      <c r="K174" s="113">
        <v>2100205043739</v>
      </c>
      <c r="L174">
        <v>32</v>
      </c>
      <c r="M174">
        <v>20</v>
      </c>
      <c r="N174" t="s">
        <v>1863</v>
      </c>
      <c r="P174" s="112">
        <f t="shared" si="2"/>
        <v>5</v>
      </c>
    </row>
    <row r="175" spans="1:16">
      <c r="A175">
        <v>200240</v>
      </c>
      <c r="B175" t="s">
        <v>1850</v>
      </c>
      <c r="C175" t="s">
        <v>2425</v>
      </c>
      <c r="D175" t="s">
        <v>1898</v>
      </c>
      <c r="E175" t="s">
        <v>2014</v>
      </c>
      <c r="F175" t="s">
        <v>1798</v>
      </c>
      <c r="G175" s="112">
        <v>100</v>
      </c>
      <c r="H175" s="112">
        <v>101</v>
      </c>
      <c r="I175">
        <v>20504380</v>
      </c>
      <c r="J175" s="113">
        <v>2100205043807</v>
      </c>
      <c r="K175" s="113">
        <v>2100205043807</v>
      </c>
      <c r="L175">
        <v>30</v>
      </c>
      <c r="M175">
        <v>23</v>
      </c>
      <c r="N175" t="s">
        <v>1863</v>
      </c>
      <c r="P175" s="112">
        <f t="shared" si="2"/>
        <v>4.3478260869565215</v>
      </c>
    </row>
    <row r="176" spans="1:16">
      <c r="A176">
        <v>200241</v>
      </c>
      <c r="B176" t="s">
        <v>1850</v>
      </c>
      <c r="C176" t="s">
        <v>2425</v>
      </c>
      <c r="D176" t="s">
        <v>1899</v>
      </c>
      <c r="E176" t="s">
        <v>2070</v>
      </c>
      <c r="F176" t="s">
        <v>1798</v>
      </c>
      <c r="G176" s="112">
        <v>100</v>
      </c>
      <c r="H176" s="112">
        <v>101</v>
      </c>
      <c r="I176">
        <v>20504397</v>
      </c>
      <c r="J176" s="113">
        <v>2100205043975</v>
      </c>
      <c r="K176" s="113">
        <v>2100205043975</v>
      </c>
      <c r="L176">
        <v>80</v>
      </c>
      <c r="M176">
        <v>7</v>
      </c>
      <c r="N176" t="s">
        <v>1863</v>
      </c>
      <c r="P176" s="112">
        <f t="shared" si="2"/>
        <v>14.285714285714286</v>
      </c>
    </row>
    <row r="177" spans="1:16">
      <c r="A177">
        <v>200242</v>
      </c>
      <c r="B177" t="s">
        <v>1850</v>
      </c>
      <c r="C177" t="s">
        <v>2425</v>
      </c>
      <c r="D177" t="s">
        <v>1900</v>
      </c>
      <c r="E177" t="s">
        <v>2006</v>
      </c>
      <c r="F177" t="s">
        <v>1798</v>
      </c>
      <c r="G177" s="112">
        <v>100</v>
      </c>
      <c r="H177" s="112">
        <v>101</v>
      </c>
      <c r="I177">
        <v>20504403</v>
      </c>
      <c r="J177" s="113">
        <v>2100205044033</v>
      </c>
      <c r="K177" s="113">
        <v>2100205044033</v>
      </c>
      <c r="L177">
        <v>48</v>
      </c>
      <c r="M177">
        <v>12</v>
      </c>
      <c r="N177" t="s">
        <v>1863</v>
      </c>
      <c r="P177" s="112">
        <f t="shared" si="2"/>
        <v>8.3333333333333339</v>
      </c>
    </row>
    <row r="178" spans="1:16">
      <c r="A178">
        <v>200243</v>
      </c>
      <c r="B178" t="s">
        <v>1850</v>
      </c>
      <c r="C178" t="s">
        <v>2425</v>
      </c>
      <c r="D178" t="s">
        <v>1901</v>
      </c>
      <c r="E178" t="s">
        <v>1999</v>
      </c>
      <c r="F178" t="s">
        <v>1798</v>
      </c>
      <c r="G178" s="112">
        <v>100</v>
      </c>
      <c r="H178" s="112">
        <v>101</v>
      </c>
      <c r="I178">
        <v>20504410</v>
      </c>
      <c r="J178" s="113">
        <v>2100205044101</v>
      </c>
      <c r="K178" s="113">
        <v>2100205044101</v>
      </c>
      <c r="L178">
        <v>24</v>
      </c>
      <c r="M178">
        <v>25</v>
      </c>
      <c r="N178" t="s">
        <v>1863</v>
      </c>
      <c r="P178" s="112">
        <f t="shared" si="2"/>
        <v>4</v>
      </c>
    </row>
    <row r="179" spans="1:16">
      <c r="A179">
        <v>200244</v>
      </c>
      <c r="B179" t="s">
        <v>1850</v>
      </c>
      <c r="C179" t="s">
        <v>2425</v>
      </c>
      <c r="D179" t="s">
        <v>1902</v>
      </c>
      <c r="E179" t="s">
        <v>2429</v>
      </c>
      <c r="F179" t="s">
        <v>1798</v>
      </c>
      <c r="G179" s="112">
        <v>100</v>
      </c>
      <c r="H179" s="112">
        <v>101</v>
      </c>
      <c r="I179">
        <v>20504427</v>
      </c>
      <c r="J179" s="113">
        <v>2100205044279</v>
      </c>
      <c r="K179" s="113">
        <v>2100205044279</v>
      </c>
      <c r="L179">
        <v>48</v>
      </c>
      <c r="M179">
        <v>8</v>
      </c>
      <c r="N179" t="s">
        <v>1863</v>
      </c>
      <c r="P179" s="112">
        <f t="shared" si="2"/>
        <v>12.5</v>
      </c>
    </row>
    <row r="180" spans="1:16">
      <c r="A180">
        <v>200245</v>
      </c>
      <c r="B180" t="s">
        <v>1850</v>
      </c>
      <c r="C180" t="s">
        <v>2425</v>
      </c>
      <c r="D180" t="s">
        <v>1903</v>
      </c>
      <c r="E180" t="s">
        <v>2430</v>
      </c>
      <c r="F180" t="s">
        <v>1798</v>
      </c>
      <c r="G180" s="112">
        <v>100</v>
      </c>
      <c r="H180" s="112">
        <v>101</v>
      </c>
      <c r="I180">
        <v>20504434</v>
      </c>
      <c r="J180" s="113">
        <v>2100205044347</v>
      </c>
      <c r="K180" s="113">
        <v>2100205044347</v>
      </c>
      <c r="L180">
        <v>32</v>
      </c>
      <c r="M180">
        <v>13</v>
      </c>
      <c r="N180" t="s">
        <v>1863</v>
      </c>
      <c r="P180" s="112">
        <f t="shared" si="2"/>
        <v>7.6923076923076925</v>
      </c>
    </row>
    <row r="181" spans="1:16">
      <c r="A181">
        <v>200246</v>
      </c>
      <c r="B181" t="s">
        <v>1850</v>
      </c>
      <c r="C181" t="s">
        <v>2425</v>
      </c>
      <c r="D181" t="s">
        <v>1904</v>
      </c>
      <c r="E181" t="s">
        <v>2067</v>
      </c>
      <c r="F181" t="s">
        <v>1798</v>
      </c>
      <c r="G181" s="112">
        <v>100</v>
      </c>
      <c r="H181" s="112">
        <v>101</v>
      </c>
      <c r="I181">
        <v>20504441</v>
      </c>
      <c r="J181" s="113">
        <v>2100205044415</v>
      </c>
      <c r="K181" s="113">
        <v>2100205044415</v>
      </c>
      <c r="L181">
        <v>128</v>
      </c>
      <c r="M181">
        <v>3</v>
      </c>
      <c r="N181" t="s">
        <v>1863</v>
      </c>
      <c r="P181" s="112">
        <f t="shared" si="2"/>
        <v>33.333333333333336</v>
      </c>
    </row>
    <row r="182" spans="1:16">
      <c r="A182">
        <v>200247</v>
      </c>
      <c r="B182" t="s">
        <v>1850</v>
      </c>
      <c r="C182" t="s">
        <v>2425</v>
      </c>
      <c r="D182" t="s">
        <v>1905</v>
      </c>
      <c r="E182" t="s">
        <v>2000</v>
      </c>
      <c r="F182" t="s">
        <v>1798</v>
      </c>
      <c r="G182" s="112">
        <v>100</v>
      </c>
      <c r="H182" s="112">
        <v>101</v>
      </c>
      <c r="I182">
        <v>20504458</v>
      </c>
      <c r="J182" s="113">
        <v>2100205044583</v>
      </c>
      <c r="K182" s="113">
        <v>2100205044583</v>
      </c>
      <c r="L182">
        <v>64</v>
      </c>
      <c r="M182">
        <v>6</v>
      </c>
      <c r="N182" t="s">
        <v>1863</v>
      </c>
      <c r="P182" s="112">
        <f t="shared" si="2"/>
        <v>16.666666666666668</v>
      </c>
    </row>
    <row r="183" spans="1:16">
      <c r="A183">
        <v>200248</v>
      </c>
      <c r="B183" t="s">
        <v>1850</v>
      </c>
      <c r="C183" t="s">
        <v>2425</v>
      </c>
      <c r="D183" t="s">
        <v>1906</v>
      </c>
      <c r="E183" t="s">
        <v>1996</v>
      </c>
      <c r="F183" t="s">
        <v>1798</v>
      </c>
      <c r="G183" s="112">
        <v>100</v>
      </c>
      <c r="H183" s="112">
        <v>101</v>
      </c>
      <c r="I183">
        <v>20504465</v>
      </c>
      <c r="J183" s="113">
        <v>2100205044651</v>
      </c>
      <c r="K183" s="113">
        <v>2100205044651</v>
      </c>
      <c r="L183">
        <v>48</v>
      </c>
      <c r="M183">
        <v>8</v>
      </c>
      <c r="N183" t="s">
        <v>1863</v>
      </c>
      <c r="P183" s="112">
        <f t="shared" si="2"/>
        <v>12.5</v>
      </c>
    </row>
    <row r="184" spans="1:16">
      <c r="A184">
        <v>200249</v>
      </c>
      <c r="B184" t="s">
        <v>1850</v>
      </c>
      <c r="C184" t="s">
        <v>2425</v>
      </c>
      <c r="D184" t="s">
        <v>1907</v>
      </c>
      <c r="E184" t="s">
        <v>2003</v>
      </c>
      <c r="F184" t="s">
        <v>1798</v>
      </c>
      <c r="G184" s="112">
        <v>100</v>
      </c>
      <c r="H184" s="112">
        <v>101</v>
      </c>
      <c r="I184">
        <v>20504502</v>
      </c>
      <c r="J184" s="113">
        <v>2100205044729</v>
      </c>
      <c r="K184" s="113">
        <v>2100205044729</v>
      </c>
      <c r="L184">
        <v>64</v>
      </c>
      <c r="M184">
        <v>7</v>
      </c>
      <c r="N184" t="s">
        <v>1863</v>
      </c>
      <c r="P184" s="112">
        <f t="shared" si="2"/>
        <v>14.285714285714286</v>
      </c>
    </row>
    <row r="185" spans="1:16">
      <c r="A185">
        <v>200250</v>
      </c>
      <c r="B185" t="s">
        <v>1850</v>
      </c>
      <c r="C185" t="s">
        <v>2425</v>
      </c>
      <c r="D185" t="s">
        <v>1908</v>
      </c>
      <c r="E185" t="s">
        <v>2022</v>
      </c>
      <c r="F185" t="s">
        <v>1798</v>
      </c>
      <c r="G185" s="112">
        <v>100</v>
      </c>
      <c r="H185" s="112">
        <v>101</v>
      </c>
      <c r="I185">
        <v>20504472</v>
      </c>
      <c r="J185" s="113">
        <v>2100205044897</v>
      </c>
      <c r="K185" s="113">
        <v>2100205044897</v>
      </c>
      <c r="L185">
        <v>48</v>
      </c>
      <c r="M185">
        <v>9</v>
      </c>
      <c r="N185" t="s">
        <v>1863</v>
      </c>
      <c r="P185" s="112">
        <f t="shared" si="2"/>
        <v>11.111111111111111</v>
      </c>
    </row>
    <row r="186" spans="1:16">
      <c r="A186">
        <v>200251</v>
      </c>
      <c r="B186" t="s">
        <v>1850</v>
      </c>
      <c r="C186" t="s">
        <v>2425</v>
      </c>
      <c r="D186" t="s">
        <v>1909</v>
      </c>
      <c r="E186" t="s">
        <v>2010</v>
      </c>
      <c r="F186" t="s">
        <v>1798</v>
      </c>
      <c r="G186" s="112">
        <v>100</v>
      </c>
      <c r="H186" s="112">
        <v>101</v>
      </c>
      <c r="I186">
        <v>20504489</v>
      </c>
      <c r="J186" s="113">
        <v>2100205044965</v>
      </c>
      <c r="K186" s="113">
        <v>2100205044965</v>
      </c>
      <c r="L186">
        <v>48</v>
      </c>
      <c r="M186">
        <v>10</v>
      </c>
      <c r="N186" t="s">
        <v>1863</v>
      </c>
      <c r="P186" s="112">
        <f t="shared" si="2"/>
        <v>10</v>
      </c>
    </row>
    <row r="187" spans="1:16">
      <c r="A187">
        <v>200252</v>
      </c>
      <c r="B187" t="s">
        <v>1850</v>
      </c>
      <c r="C187" t="s">
        <v>2425</v>
      </c>
      <c r="D187" t="s">
        <v>1910</v>
      </c>
      <c r="E187" t="s">
        <v>2019</v>
      </c>
      <c r="F187" t="s">
        <v>1798</v>
      </c>
      <c r="G187" s="112">
        <v>100</v>
      </c>
      <c r="H187" s="112">
        <v>101</v>
      </c>
      <c r="I187">
        <v>20504496</v>
      </c>
      <c r="J187" s="113">
        <v>2100205045023</v>
      </c>
      <c r="K187" s="113">
        <v>2100205045023</v>
      </c>
      <c r="L187">
        <v>18</v>
      </c>
      <c r="M187">
        <v>16</v>
      </c>
      <c r="N187" t="s">
        <v>1863</v>
      </c>
      <c r="P187" s="112">
        <f t="shared" si="2"/>
        <v>6.25</v>
      </c>
    </row>
    <row r="188" spans="1:16">
      <c r="A188">
        <v>200253</v>
      </c>
      <c r="B188" t="s">
        <v>1850</v>
      </c>
      <c r="C188" t="s">
        <v>2425</v>
      </c>
      <c r="D188" t="s">
        <v>1911</v>
      </c>
      <c r="E188" t="s">
        <v>2023</v>
      </c>
      <c r="F188" t="s">
        <v>1798</v>
      </c>
      <c r="G188" s="112">
        <v>100</v>
      </c>
      <c r="H188" s="112">
        <v>101</v>
      </c>
      <c r="I188">
        <v>20504519</v>
      </c>
      <c r="J188" s="113">
        <v>2100205045191</v>
      </c>
      <c r="K188" s="113">
        <v>2100205045191</v>
      </c>
      <c r="L188">
        <v>18</v>
      </c>
      <c r="M188">
        <v>18</v>
      </c>
      <c r="N188" t="s">
        <v>1863</v>
      </c>
      <c r="P188" s="112">
        <f t="shared" si="2"/>
        <v>5.5555555555555554</v>
      </c>
    </row>
    <row r="189" spans="1:16">
      <c r="A189">
        <v>200254</v>
      </c>
      <c r="B189" t="s">
        <v>1850</v>
      </c>
      <c r="C189" t="s">
        <v>2425</v>
      </c>
      <c r="D189" t="s">
        <v>1912</v>
      </c>
      <c r="E189" t="s">
        <v>2057</v>
      </c>
      <c r="F189" t="s">
        <v>1798</v>
      </c>
      <c r="G189" s="112">
        <v>100</v>
      </c>
      <c r="H189" s="112">
        <v>101</v>
      </c>
      <c r="I189">
        <v>20504526</v>
      </c>
      <c r="J189" s="113">
        <v>2100205045269</v>
      </c>
      <c r="K189" s="113">
        <v>2100205045269</v>
      </c>
      <c r="L189">
        <v>18</v>
      </c>
      <c r="M189">
        <v>26</v>
      </c>
      <c r="N189" t="s">
        <v>1863</v>
      </c>
      <c r="P189" s="112">
        <f t="shared" si="2"/>
        <v>3.8461538461538463</v>
      </c>
    </row>
    <row r="190" spans="1:16">
      <c r="A190">
        <v>200255</v>
      </c>
      <c r="B190" t="s">
        <v>1850</v>
      </c>
      <c r="C190" t="s">
        <v>2425</v>
      </c>
      <c r="D190" t="s">
        <v>1913</v>
      </c>
      <c r="E190" t="s">
        <v>2007</v>
      </c>
      <c r="F190" t="s">
        <v>1798</v>
      </c>
      <c r="G190" s="112">
        <v>100</v>
      </c>
      <c r="H190" s="112">
        <v>101</v>
      </c>
      <c r="I190">
        <v>20504533</v>
      </c>
      <c r="J190" s="113">
        <v>2100205045337</v>
      </c>
      <c r="K190" s="113">
        <v>2100205045337</v>
      </c>
      <c r="L190">
        <v>48</v>
      </c>
      <c r="M190">
        <v>12</v>
      </c>
      <c r="N190" t="s">
        <v>1863</v>
      </c>
      <c r="P190" s="112">
        <f t="shared" si="2"/>
        <v>8.3333333333333339</v>
      </c>
    </row>
    <row r="191" spans="1:16">
      <c r="A191">
        <v>200256</v>
      </c>
      <c r="B191" t="s">
        <v>1850</v>
      </c>
      <c r="C191" t="s">
        <v>2425</v>
      </c>
      <c r="D191" t="s">
        <v>1914</v>
      </c>
      <c r="E191" t="s">
        <v>2068</v>
      </c>
      <c r="F191" t="s">
        <v>1798</v>
      </c>
      <c r="G191" s="112">
        <v>100</v>
      </c>
      <c r="H191" s="112">
        <v>101</v>
      </c>
      <c r="I191">
        <v>20504540</v>
      </c>
      <c r="J191" s="113">
        <v>2100205045405</v>
      </c>
      <c r="K191" s="113">
        <v>2100205045405</v>
      </c>
      <c r="L191">
        <v>32</v>
      </c>
      <c r="M191">
        <v>17</v>
      </c>
      <c r="N191" t="s">
        <v>1863</v>
      </c>
      <c r="P191" s="112">
        <f t="shared" si="2"/>
        <v>5.882352941176471</v>
      </c>
    </row>
    <row r="192" spans="1:16">
      <c r="A192">
        <v>200257</v>
      </c>
      <c r="B192" t="s">
        <v>1850</v>
      </c>
      <c r="C192" t="s">
        <v>2425</v>
      </c>
      <c r="D192" t="s">
        <v>1915</v>
      </c>
      <c r="E192" t="s">
        <v>2431</v>
      </c>
      <c r="F192" t="s">
        <v>1798</v>
      </c>
      <c r="G192" s="112">
        <v>100</v>
      </c>
      <c r="H192" s="112">
        <v>101</v>
      </c>
      <c r="I192">
        <v>20504557</v>
      </c>
      <c r="J192" s="113">
        <v>2100205045573</v>
      </c>
      <c r="K192" s="113">
        <v>2100205045573</v>
      </c>
      <c r="L192">
        <v>32</v>
      </c>
      <c r="M192">
        <v>20</v>
      </c>
      <c r="N192" t="s">
        <v>1863</v>
      </c>
      <c r="P192" s="112">
        <f t="shared" si="2"/>
        <v>5</v>
      </c>
    </row>
    <row r="193" spans="1:16">
      <c r="A193">
        <v>200258</v>
      </c>
      <c r="B193" t="s">
        <v>1850</v>
      </c>
      <c r="C193" t="s">
        <v>2425</v>
      </c>
      <c r="D193" t="s">
        <v>1846</v>
      </c>
      <c r="E193" t="s">
        <v>2008</v>
      </c>
      <c r="F193" t="s">
        <v>1798</v>
      </c>
      <c r="G193" s="112">
        <v>100</v>
      </c>
      <c r="H193" s="112">
        <v>101</v>
      </c>
      <c r="I193">
        <v>20504564</v>
      </c>
      <c r="J193" s="113">
        <v>2100205045641</v>
      </c>
      <c r="K193" s="113">
        <v>2100205045641</v>
      </c>
      <c r="L193">
        <v>15</v>
      </c>
      <c r="M193">
        <v>28</v>
      </c>
      <c r="N193" t="s">
        <v>1863</v>
      </c>
      <c r="P193" s="112">
        <f t="shared" si="2"/>
        <v>3.5714285714285716</v>
      </c>
    </row>
    <row r="194" spans="1:16">
      <c r="A194">
        <v>200259</v>
      </c>
      <c r="B194" t="s">
        <v>1850</v>
      </c>
      <c r="C194" t="s">
        <v>2425</v>
      </c>
      <c r="D194" t="s">
        <v>1916</v>
      </c>
      <c r="E194" t="s">
        <v>2056</v>
      </c>
      <c r="F194" t="s">
        <v>1798</v>
      </c>
      <c r="G194" s="112">
        <v>100</v>
      </c>
      <c r="H194" s="112">
        <v>101</v>
      </c>
      <c r="I194">
        <v>20504571</v>
      </c>
      <c r="J194" s="113">
        <v>2100205045719</v>
      </c>
      <c r="K194" s="113">
        <v>2100205045719</v>
      </c>
      <c r="L194">
        <v>18</v>
      </c>
      <c r="M194">
        <v>12</v>
      </c>
      <c r="N194" t="s">
        <v>1863</v>
      </c>
      <c r="P194" s="112">
        <f t="shared" si="2"/>
        <v>8.3333333333333339</v>
      </c>
    </row>
    <row r="195" spans="1:16">
      <c r="A195">
        <v>200260</v>
      </c>
      <c r="B195" t="s">
        <v>1850</v>
      </c>
      <c r="C195" t="s">
        <v>2425</v>
      </c>
      <c r="D195" t="s">
        <v>1917</v>
      </c>
      <c r="E195" t="s">
        <v>2052</v>
      </c>
      <c r="F195" t="s">
        <v>1798</v>
      </c>
      <c r="G195" s="112">
        <v>100</v>
      </c>
      <c r="H195" s="112">
        <v>101</v>
      </c>
      <c r="I195">
        <v>20504588</v>
      </c>
      <c r="J195" s="113">
        <v>2100205045887</v>
      </c>
      <c r="K195" s="113">
        <v>2100205045887</v>
      </c>
      <c r="L195">
        <v>30</v>
      </c>
      <c r="M195">
        <v>13</v>
      </c>
      <c r="N195" t="s">
        <v>1863</v>
      </c>
      <c r="P195" s="112">
        <f t="shared" ref="P195:P258" si="3">G195/M195</f>
        <v>7.6923076923076925</v>
      </c>
    </row>
    <row r="196" spans="1:16">
      <c r="A196">
        <v>200261</v>
      </c>
      <c r="B196" t="s">
        <v>1850</v>
      </c>
      <c r="C196" t="s">
        <v>2425</v>
      </c>
      <c r="D196" t="s">
        <v>1918</v>
      </c>
      <c r="E196" t="s">
        <v>2032</v>
      </c>
      <c r="F196" t="s">
        <v>1798</v>
      </c>
      <c r="G196" s="112">
        <v>100</v>
      </c>
      <c r="H196" s="112">
        <v>101</v>
      </c>
      <c r="I196">
        <v>20504595</v>
      </c>
      <c r="J196" s="113">
        <v>2100205045955</v>
      </c>
      <c r="K196" s="113">
        <v>2100205045955</v>
      </c>
      <c r="L196">
        <v>18</v>
      </c>
      <c r="M196">
        <v>32</v>
      </c>
      <c r="N196" t="s">
        <v>1863</v>
      </c>
      <c r="P196" s="112">
        <f t="shared" si="3"/>
        <v>3.125</v>
      </c>
    </row>
    <row r="197" spans="1:16">
      <c r="A197">
        <v>200262</v>
      </c>
      <c r="B197" t="s">
        <v>1850</v>
      </c>
      <c r="C197" t="s">
        <v>2425</v>
      </c>
      <c r="D197" t="s">
        <v>1919</v>
      </c>
      <c r="E197" t="s">
        <v>2069</v>
      </c>
      <c r="F197" t="s">
        <v>1798</v>
      </c>
      <c r="G197" s="112">
        <v>100</v>
      </c>
      <c r="H197" s="112">
        <v>101</v>
      </c>
      <c r="I197">
        <v>20504601</v>
      </c>
      <c r="J197" s="113">
        <v>2100205046013</v>
      </c>
      <c r="K197" s="113">
        <v>2100205046013</v>
      </c>
      <c r="L197">
        <v>40</v>
      </c>
      <c r="M197">
        <v>8</v>
      </c>
      <c r="N197" t="s">
        <v>1863</v>
      </c>
      <c r="P197" s="112">
        <f t="shared" si="3"/>
        <v>12.5</v>
      </c>
    </row>
    <row r="198" spans="1:16">
      <c r="A198">
        <v>200263</v>
      </c>
      <c r="B198" t="s">
        <v>1850</v>
      </c>
      <c r="C198" t="s">
        <v>2425</v>
      </c>
      <c r="D198" t="s">
        <v>1920</v>
      </c>
      <c r="E198" t="s">
        <v>2048</v>
      </c>
      <c r="F198" t="s">
        <v>1798</v>
      </c>
      <c r="G198" s="112">
        <v>100</v>
      </c>
      <c r="H198" s="112">
        <v>101</v>
      </c>
      <c r="I198">
        <v>20504618</v>
      </c>
      <c r="J198" s="113">
        <v>2100205046181</v>
      </c>
      <c r="K198" s="113">
        <v>2100205046181</v>
      </c>
      <c r="L198">
        <v>27</v>
      </c>
      <c r="M198">
        <v>12</v>
      </c>
      <c r="N198" t="s">
        <v>1863</v>
      </c>
      <c r="P198" s="112">
        <f t="shared" si="3"/>
        <v>8.3333333333333339</v>
      </c>
    </row>
    <row r="199" spans="1:16">
      <c r="A199">
        <v>200264</v>
      </c>
      <c r="B199" t="s">
        <v>1850</v>
      </c>
      <c r="C199" t="s">
        <v>2425</v>
      </c>
      <c r="D199" t="s">
        <v>1921</v>
      </c>
      <c r="E199" t="s">
        <v>2054</v>
      </c>
      <c r="F199" t="s">
        <v>1798</v>
      </c>
      <c r="G199" s="112">
        <v>100</v>
      </c>
      <c r="H199" s="112">
        <v>101</v>
      </c>
      <c r="I199">
        <v>20504625</v>
      </c>
      <c r="J199" s="113">
        <v>2100205046259</v>
      </c>
      <c r="K199" s="113">
        <v>2100205046259</v>
      </c>
      <c r="L199">
        <v>24</v>
      </c>
      <c r="M199">
        <v>12</v>
      </c>
      <c r="N199" t="s">
        <v>1863</v>
      </c>
      <c r="P199" s="112">
        <f t="shared" si="3"/>
        <v>8.3333333333333339</v>
      </c>
    </row>
    <row r="200" spans="1:16">
      <c r="A200">
        <v>300004</v>
      </c>
      <c r="B200" t="s">
        <v>1850</v>
      </c>
      <c r="C200" t="s">
        <v>2423</v>
      </c>
      <c r="D200" t="s">
        <v>0</v>
      </c>
      <c r="E200" t="s">
        <v>1214</v>
      </c>
      <c r="F200" t="s">
        <v>1837</v>
      </c>
      <c r="G200" s="112">
        <v>100</v>
      </c>
      <c r="H200" s="112">
        <v>101</v>
      </c>
      <c r="I200">
        <v>20378035</v>
      </c>
      <c r="J200" s="113">
        <v>2100203780353</v>
      </c>
      <c r="K200" s="113">
        <v>2100203780353</v>
      </c>
      <c r="L200">
        <v>66</v>
      </c>
      <c r="M200">
        <v>25</v>
      </c>
      <c r="N200" t="s">
        <v>1851</v>
      </c>
      <c r="P200" s="112">
        <f t="shared" si="3"/>
        <v>4</v>
      </c>
    </row>
    <row r="201" spans="1:16">
      <c r="A201">
        <v>300005</v>
      </c>
      <c r="B201" t="s">
        <v>1850</v>
      </c>
      <c r="C201" t="s">
        <v>2423</v>
      </c>
      <c r="D201" t="s">
        <v>1</v>
      </c>
      <c r="E201" t="s">
        <v>1795</v>
      </c>
      <c r="F201" t="s">
        <v>1837</v>
      </c>
      <c r="G201" s="112">
        <v>100</v>
      </c>
      <c r="H201" s="112">
        <v>101</v>
      </c>
      <c r="I201">
        <v>20388140</v>
      </c>
      <c r="J201" s="113">
        <v>2100203881401</v>
      </c>
      <c r="K201" s="113">
        <v>2100203881401</v>
      </c>
      <c r="L201">
        <v>66</v>
      </c>
      <c r="M201">
        <v>5</v>
      </c>
      <c r="N201" t="s">
        <v>1851</v>
      </c>
      <c r="P201" s="112">
        <f t="shared" si="3"/>
        <v>20</v>
      </c>
    </row>
    <row r="202" spans="1:16">
      <c r="A202">
        <v>300006</v>
      </c>
      <c r="B202" t="s">
        <v>1850</v>
      </c>
      <c r="C202" t="s">
        <v>2423</v>
      </c>
      <c r="D202" t="s">
        <v>2</v>
      </c>
      <c r="E202" t="s">
        <v>1852</v>
      </c>
      <c r="F202" t="s">
        <v>1837</v>
      </c>
      <c r="G202" s="112">
        <v>100</v>
      </c>
      <c r="H202" s="112">
        <v>101</v>
      </c>
      <c r="I202">
        <v>20388645</v>
      </c>
      <c r="J202" s="113">
        <v>2100203886451</v>
      </c>
      <c r="K202" s="113">
        <v>2100203886451</v>
      </c>
      <c r="L202">
        <v>66</v>
      </c>
      <c r="M202">
        <v>8</v>
      </c>
      <c r="N202" t="s">
        <v>1851</v>
      </c>
      <c r="P202" s="112">
        <f t="shared" si="3"/>
        <v>12.5</v>
      </c>
    </row>
    <row r="203" spans="1:16">
      <c r="A203">
        <v>300007</v>
      </c>
      <c r="B203" t="s">
        <v>1850</v>
      </c>
      <c r="C203" t="s">
        <v>2423</v>
      </c>
      <c r="D203" t="s">
        <v>1835</v>
      </c>
      <c r="E203" t="s">
        <v>1836</v>
      </c>
      <c r="F203" t="s">
        <v>1837</v>
      </c>
      <c r="G203" s="112">
        <v>100</v>
      </c>
      <c r="H203" s="112">
        <v>101</v>
      </c>
      <c r="I203">
        <v>20378714</v>
      </c>
      <c r="J203" s="113">
        <v>2100203787147</v>
      </c>
      <c r="K203" s="113">
        <v>2100203787147</v>
      </c>
      <c r="L203">
        <v>50</v>
      </c>
      <c r="M203">
        <v>18</v>
      </c>
      <c r="N203" t="s">
        <v>1851</v>
      </c>
      <c r="P203" s="112">
        <f t="shared" si="3"/>
        <v>5.5555555555555554</v>
      </c>
    </row>
    <row r="204" spans="1:16">
      <c r="A204">
        <v>300008</v>
      </c>
      <c r="B204" t="s">
        <v>1850</v>
      </c>
      <c r="C204" t="s">
        <v>2423</v>
      </c>
      <c r="D204" t="s">
        <v>3</v>
      </c>
      <c r="E204" t="s">
        <v>1836</v>
      </c>
      <c r="F204" t="s">
        <v>1837</v>
      </c>
      <c r="G204" s="112">
        <v>100</v>
      </c>
      <c r="H204" s="112">
        <v>101</v>
      </c>
      <c r="I204">
        <v>20378721</v>
      </c>
      <c r="J204" s="113">
        <v>2100203787215</v>
      </c>
      <c r="K204" s="113">
        <v>2100203787215</v>
      </c>
      <c r="L204">
        <v>50</v>
      </c>
      <c r="M204">
        <v>24</v>
      </c>
      <c r="N204" t="s">
        <v>1851</v>
      </c>
      <c r="P204" s="112">
        <f t="shared" si="3"/>
        <v>4.166666666666667</v>
      </c>
    </row>
    <row r="205" spans="1:16">
      <c r="A205">
        <v>300009</v>
      </c>
      <c r="B205" t="s">
        <v>1850</v>
      </c>
      <c r="C205" t="s">
        <v>2423</v>
      </c>
      <c r="D205" t="s">
        <v>4</v>
      </c>
      <c r="E205" t="s">
        <v>1842</v>
      </c>
      <c r="F205" t="s">
        <v>1837</v>
      </c>
      <c r="G205" s="112">
        <v>100</v>
      </c>
      <c r="H205" s="112">
        <v>101</v>
      </c>
      <c r="I205">
        <v>25036183</v>
      </c>
      <c r="J205" s="113">
        <v>4975160101620</v>
      </c>
      <c r="L205">
        <v>60</v>
      </c>
      <c r="M205">
        <v>30</v>
      </c>
      <c r="N205" t="s">
        <v>1851</v>
      </c>
      <c r="P205" s="112">
        <f t="shared" si="3"/>
        <v>3.3333333333333335</v>
      </c>
    </row>
    <row r="206" spans="1:16">
      <c r="A206">
        <v>300010</v>
      </c>
      <c r="B206" t="s">
        <v>1850</v>
      </c>
      <c r="C206" t="s">
        <v>2423</v>
      </c>
      <c r="D206" t="s">
        <v>1849</v>
      </c>
      <c r="E206" t="s">
        <v>1842</v>
      </c>
      <c r="F206" t="s">
        <v>1837</v>
      </c>
      <c r="G206" s="112">
        <v>100</v>
      </c>
      <c r="H206" s="112">
        <v>101</v>
      </c>
      <c r="I206">
        <v>25036176</v>
      </c>
      <c r="J206" s="113">
        <v>4975160101613</v>
      </c>
      <c r="L206">
        <v>60</v>
      </c>
      <c r="M206">
        <v>0.26</v>
      </c>
      <c r="N206" t="s">
        <v>1851</v>
      </c>
      <c r="P206" s="112">
        <f t="shared" si="3"/>
        <v>384.61538461538458</v>
      </c>
    </row>
    <row r="207" spans="1:16">
      <c r="A207">
        <v>300011</v>
      </c>
      <c r="B207" t="s">
        <v>1850</v>
      </c>
      <c r="C207" t="s">
        <v>2423</v>
      </c>
      <c r="D207" t="s">
        <v>1853</v>
      </c>
      <c r="E207" t="s">
        <v>1208</v>
      </c>
      <c r="F207" t="s">
        <v>1837</v>
      </c>
      <c r="G207" s="112">
        <v>100</v>
      </c>
      <c r="H207" s="112">
        <v>101</v>
      </c>
      <c r="I207">
        <v>50900008</v>
      </c>
      <c r="J207" s="113">
        <v>4531977003290</v>
      </c>
      <c r="L207">
        <v>66</v>
      </c>
      <c r="M207">
        <v>13</v>
      </c>
      <c r="N207" t="s">
        <v>1851</v>
      </c>
      <c r="P207" s="112">
        <f t="shared" si="3"/>
        <v>7.6923076923076925</v>
      </c>
    </row>
    <row r="208" spans="1:16">
      <c r="A208">
        <v>300012</v>
      </c>
      <c r="B208" t="s">
        <v>1850</v>
      </c>
      <c r="C208" t="s">
        <v>2423</v>
      </c>
      <c r="D208" t="s">
        <v>1854</v>
      </c>
      <c r="E208" t="s">
        <v>1208</v>
      </c>
      <c r="F208" t="s">
        <v>1837</v>
      </c>
      <c r="G208" s="112">
        <v>100</v>
      </c>
      <c r="H208" s="112">
        <v>101</v>
      </c>
      <c r="I208">
        <v>50900008</v>
      </c>
      <c r="J208" s="113">
        <v>4531977003306</v>
      </c>
      <c r="L208">
        <v>66</v>
      </c>
      <c r="M208">
        <v>20</v>
      </c>
      <c r="N208" t="s">
        <v>1851</v>
      </c>
      <c r="P208" s="112">
        <f t="shared" si="3"/>
        <v>5</v>
      </c>
    </row>
    <row r="209" spans="1:16">
      <c r="A209">
        <v>300013</v>
      </c>
      <c r="B209" t="s">
        <v>1850</v>
      </c>
      <c r="C209" t="s">
        <v>2423</v>
      </c>
      <c r="D209" t="s">
        <v>1855</v>
      </c>
      <c r="E209" t="s">
        <v>1208</v>
      </c>
      <c r="F209" t="s">
        <v>1837</v>
      </c>
      <c r="G209" s="112">
        <v>100</v>
      </c>
      <c r="H209" s="112">
        <v>101</v>
      </c>
      <c r="I209">
        <v>20395896</v>
      </c>
      <c r="J209" s="113">
        <v>2100203958967</v>
      </c>
      <c r="K209" s="113">
        <v>2100203958967</v>
      </c>
      <c r="L209">
        <v>66</v>
      </c>
      <c r="M209">
        <v>20</v>
      </c>
      <c r="N209" t="s">
        <v>1851</v>
      </c>
      <c r="P209" s="112">
        <f t="shared" si="3"/>
        <v>5</v>
      </c>
    </row>
    <row r="210" spans="1:16">
      <c r="A210">
        <v>300014</v>
      </c>
      <c r="B210" t="s">
        <v>1850</v>
      </c>
      <c r="C210" t="s">
        <v>2423</v>
      </c>
      <c r="D210" t="s">
        <v>1856</v>
      </c>
      <c r="E210" t="s">
        <v>1208</v>
      </c>
      <c r="F210" t="s">
        <v>1837</v>
      </c>
      <c r="G210" s="112">
        <v>100</v>
      </c>
      <c r="H210" s="112">
        <v>101</v>
      </c>
      <c r="I210">
        <v>20452421</v>
      </c>
      <c r="J210" s="113">
        <v>2100204524215</v>
      </c>
      <c r="K210" s="113">
        <v>2100204524215</v>
      </c>
      <c r="L210">
        <v>66</v>
      </c>
      <c r="M210">
        <v>20</v>
      </c>
      <c r="N210" t="s">
        <v>1851</v>
      </c>
      <c r="P210" s="112">
        <f t="shared" si="3"/>
        <v>5</v>
      </c>
    </row>
    <row r="211" spans="1:16">
      <c r="A211">
        <v>300015</v>
      </c>
      <c r="B211" t="s">
        <v>1850</v>
      </c>
      <c r="C211" t="s">
        <v>2423</v>
      </c>
      <c r="D211" t="s">
        <v>1857</v>
      </c>
      <c r="E211" t="s">
        <v>1847</v>
      </c>
      <c r="F211" t="s">
        <v>1837</v>
      </c>
      <c r="G211" s="112">
        <v>100</v>
      </c>
      <c r="H211" s="112">
        <v>101</v>
      </c>
      <c r="I211">
        <v>50900008</v>
      </c>
      <c r="J211" s="113">
        <v>4573244730157</v>
      </c>
      <c r="L211">
        <v>1</v>
      </c>
      <c r="M211">
        <v>1200</v>
      </c>
      <c r="N211" t="s">
        <v>1851</v>
      </c>
      <c r="P211" s="112">
        <f t="shared" si="3"/>
        <v>8.3333333333333329E-2</v>
      </c>
    </row>
    <row r="212" spans="1:16">
      <c r="A212">
        <v>300016</v>
      </c>
      <c r="B212" t="s">
        <v>1850</v>
      </c>
      <c r="C212" t="s">
        <v>2423</v>
      </c>
      <c r="D212" t="s">
        <v>1858</v>
      </c>
      <c r="E212" t="s">
        <v>1847</v>
      </c>
      <c r="F212" t="s">
        <v>1837</v>
      </c>
      <c r="G212" s="112">
        <v>100</v>
      </c>
      <c r="H212" s="112">
        <v>101</v>
      </c>
      <c r="I212">
        <v>50900008</v>
      </c>
      <c r="J212" s="113">
        <v>4573244730164</v>
      </c>
      <c r="L212">
        <v>1</v>
      </c>
      <c r="M212">
        <v>1200</v>
      </c>
      <c r="N212" t="s">
        <v>1851</v>
      </c>
      <c r="P212" s="112">
        <f t="shared" si="3"/>
        <v>8.3333333333333329E-2</v>
      </c>
    </row>
    <row r="213" spans="1:16">
      <c r="A213">
        <v>300017</v>
      </c>
      <c r="B213" t="s">
        <v>1850</v>
      </c>
      <c r="C213" t="s">
        <v>2423</v>
      </c>
      <c r="D213" t="s">
        <v>1859</v>
      </c>
      <c r="E213" t="s">
        <v>1847</v>
      </c>
      <c r="F213" t="s">
        <v>1837</v>
      </c>
      <c r="G213" s="112">
        <v>100</v>
      </c>
      <c r="H213" s="112">
        <v>101</v>
      </c>
      <c r="I213">
        <v>50900008</v>
      </c>
      <c r="J213" s="113">
        <v>4573244730171</v>
      </c>
      <c r="L213">
        <v>1</v>
      </c>
      <c r="M213">
        <v>1200</v>
      </c>
      <c r="N213" t="s">
        <v>1851</v>
      </c>
      <c r="P213" s="112">
        <f t="shared" si="3"/>
        <v>8.3333333333333329E-2</v>
      </c>
    </row>
    <row r="214" spans="1:16">
      <c r="A214">
        <v>300101</v>
      </c>
      <c r="B214" t="s">
        <v>1850</v>
      </c>
      <c r="C214" t="s">
        <v>2424</v>
      </c>
      <c r="D214" t="s">
        <v>1209</v>
      </c>
      <c r="E214" t="s">
        <v>1218</v>
      </c>
      <c r="F214" t="s">
        <v>1837</v>
      </c>
      <c r="G214" s="112">
        <v>100</v>
      </c>
      <c r="H214" s="112">
        <v>101</v>
      </c>
      <c r="I214">
        <v>20452438</v>
      </c>
      <c r="J214" s="113">
        <v>4573244730010</v>
      </c>
      <c r="K214" s="113">
        <v>2100204524383</v>
      </c>
      <c r="L214">
        <v>5</v>
      </c>
      <c r="N214" t="s">
        <v>1860</v>
      </c>
      <c r="P214" s="112" t="e">
        <f t="shared" si="3"/>
        <v>#DIV/0!</v>
      </c>
    </row>
    <row r="215" spans="1:16">
      <c r="A215">
        <v>300102</v>
      </c>
      <c r="B215" t="s">
        <v>1850</v>
      </c>
      <c r="C215" t="s">
        <v>2424</v>
      </c>
      <c r="D215" t="s">
        <v>1210</v>
      </c>
      <c r="E215" t="s">
        <v>1801</v>
      </c>
      <c r="F215" t="s">
        <v>1837</v>
      </c>
      <c r="G215" s="112">
        <v>100</v>
      </c>
      <c r="H215" s="112">
        <v>101</v>
      </c>
      <c r="I215">
        <v>20452445</v>
      </c>
      <c r="J215" s="113">
        <v>4573244730027</v>
      </c>
      <c r="K215" s="113">
        <v>2100204524451</v>
      </c>
      <c r="L215">
        <v>5</v>
      </c>
      <c r="N215" t="s">
        <v>1860</v>
      </c>
      <c r="P215" s="112" t="e">
        <f t="shared" si="3"/>
        <v>#DIV/0!</v>
      </c>
    </row>
    <row r="216" spans="1:16">
      <c r="A216">
        <v>300103</v>
      </c>
      <c r="B216" t="s">
        <v>1850</v>
      </c>
      <c r="C216" t="s">
        <v>2424</v>
      </c>
      <c r="D216" t="s">
        <v>1803</v>
      </c>
      <c r="E216" t="s">
        <v>1806</v>
      </c>
      <c r="F216" t="s">
        <v>1837</v>
      </c>
      <c r="G216" s="112">
        <v>100</v>
      </c>
      <c r="H216" s="112">
        <v>101</v>
      </c>
      <c r="I216">
        <v>20452452</v>
      </c>
      <c r="J216" s="113">
        <v>4573244730034</v>
      </c>
      <c r="K216" s="113">
        <v>2100204524529</v>
      </c>
      <c r="L216">
        <v>5</v>
      </c>
      <c r="N216" t="s">
        <v>1860</v>
      </c>
      <c r="P216" s="112" t="e">
        <f t="shared" si="3"/>
        <v>#DIV/0!</v>
      </c>
    </row>
    <row r="217" spans="1:16">
      <c r="A217">
        <v>300104</v>
      </c>
      <c r="B217" t="s">
        <v>1850</v>
      </c>
      <c r="C217" t="s">
        <v>2424</v>
      </c>
      <c r="D217" t="s">
        <v>1212</v>
      </c>
      <c r="E217" t="s">
        <v>1213</v>
      </c>
      <c r="F217" t="s">
        <v>1837</v>
      </c>
      <c r="G217" s="112">
        <v>100</v>
      </c>
      <c r="H217" s="112">
        <v>101</v>
      </c>
      <c r="I217">
        <v>20452469</v>
      </c>
      <c r="J217" s="113">
        <v>4573244730041</v>
      </c>
      <c r="K217" s="113">
        <v>2100204524697</v>
      </c>
      <c r="L217">
        <v>5</v>
      </c>
      <c r="N217" t="s">
        <v>1861</v>
      </c>
      <c r="P217" s="112" t="e">
        <f t="shared" si="3"/>
        <v>#DIV/0!</v>
      </c>
    </row>
    <row r="218" spans="1:16">
      <c r="A218">
        <v>300105</v>
      </c>
      <c r="B218" t="s">
        <v>1850</v>
      </c>
      <c r="C218" t="s">
        <v>2424</v>
      </c>
      <c r="D218" t="s">
        <v>1799</v>
      </c>
      <c r="E218" t="s">
        <v>1800</v>
      </c>
      <c r="F218" t="s">
        <v>1837</v>
      </c>
      <c r="G218" s="112">
        <v>100</v>
      </c>
      <c r="H218" s="112">
        <v>101</v>
      </c>
      <c r="I218">
        <v>20452476</v>
      </c>
      <c r="J218" s="113">
        <v>4573244730058</v>
      </c>
      <c r="K218" s="113">
        <v>2100204524765</v>
      </c>
      <c r="L218">
        <v>5</v>
      </c>
      <c r="N218" t="s">
        <v>1861</v>
      </c>
      <c r="P218" s="112" t="e">
        <f t="shared" si="3"/>
        <v>#DIV/0!</v>
      </c>
    </row>
    <row r="219" spans="1:16">
      <c r="A219">
        <v>300106</v>
      </c>
      <c r="B219" t="s">
        <v>1850</v>
      </c>
      <c r="C219" t="s">
        <v>2424</v>
      </c>
      <c r="D219" t="s">
        <v>1796</v>
      </c>
      <c r="E219" t="s">
        <v>1797</v>
      </c>
      <c r="F219" t="s">
        <v>1837</v>
      </c>
      <c r="G219" s="112">
        <v>100</v>
      </c>
      <c r="H219" s="112">
        <v>101</v>
      </c>
      <c r="I219">
        <v>20452483</v>
      </c>
      <c r="J219" s="113">
        <v>4573244730065</v>
      </c>
      <c r="K219" s="113">
        <v>2100204524833</v>
      </c>
      <c r="L219">
        <v>5</v>
      </c>
      <c r="N219" t="s">
        <v>1861</v>
      </c>
      <c r="P219" s="112" t="e">
        <f t="shared" si="3"/>
        <v>#DIV/0!</v>
      </c>
    </row>
    <row r="220" spans="1:16">
      <c r="A220">
        <v>300107</v>
      </c>
      <c r="B220" t="s">
        <v>1850</v>
      </c>
      <c r="C220" t="s">
        <v>2424</v>
      </c>
      <c r="D220" t="s">
        <v>1840</v>
      </c>
      <c r="E220" t="s">
        <v>1841</v>
      </c>
      <c r="F220" t="s">
        <v>1837</v>
      </c>
      <c r="G220" s="112">
        <v>100</v>
      </c>
      <c r="H220" s="112">
        <v>101</v>
      </c>
      <c r="I220">
        <v>20452490</v>
      </c>
      <c r="J220" s="113">
        <v>4573244730072</v>
      </c>
      <c r="K220" s="113">
        <v>2100204524901</v>
      </c>
      <c r="L220">
        <v>3</v>
      </c>
      <c r="N220" t="s">
        <v>1861</v>
      </c>
      <c r="P220" s="112" t="e">
        <f t="shared" si="3"/>
        <v>#DIV/0!</v>
      </c>
    </row>
    <row r="221" spans="1:16">
      <c r="A221">
        <v>300108</v>
      </c>
      <c r="B221" t="s">
        <v>1850</v>
      </c>
      <c r="C221" t="s">
        <v>2424</v>
      </c>
      <c r="D221" t="s">
        <v>1222</v>
      </c>
      <c r="E221" t="s">
        <v>1223</v>
      </c>
      <c r="F221" t="s">
        <v>1837</v>
      </c>
      <c r="G221" s="112">
        <v>100</v>
      </c>
      <c r="H221" s="112">
        <v>101</v>
      </c>
      <c r="I221">
        <v>20452506</v>
      </c>
      <c r="J221" s="113">
        <v>4573244730089</v>
      </c>
      <c r="K221" s="113">
        <v>2100204525069</v>
      </c>
      <c r="L221">
        <v>3</v>
      </c>
      <c r="N221" t="s">
        <v>1861</v>
      </c>
      <c r="P221" s="112" t="e">
        <f t="shared" si="3"/>
        <v>#DIV/0!</v>
      </c>
    </row>
    <row r="222" spans="1:16">
      <c r="A222">
        <v>300109</v>
      </c>
      <c r="B222" t="s">
        <v>1850</v>
      </c>
      <c r="C222" t="s">
        <v>2424</v>
      </c>
      <c r="D222" t="s">
        <v>1804</v>
      </c>
      <c r="E222" t="s">
        <v>1805</v>
      </c>
      <c r="F222" t="s">
        <v>1837</v>
      </c>
      <c r="G222" s="112">
        <v>100</v>
      </c>
      <c r="H222" s="112">
        <v>101</v>
      </c>
      <c r="I222">
        <v>20452513</v>
      </c>
      <c r="J222" s="113">
        <v>4573244730096</v>
      </c>
      <c r="K222" s="113">
        <v>2100204525137</v>
      </c>
      <c r="L222">
        <v>3</v>
      </c>
      <c r="N222" t="s">
        <v>1861</v>
      </c>
      <c r="P222" s="112" t="e">
        <f t="shared" si="3"/>
        <v>#DIV/0!</v>
      </c>
    </row>
    <row r="223" spans="1:16">
      <c r="A223">
        <v>300110</v>
      </c>
      <c r="B223" t="s">
        <v>1850</v>
      </c>
      <c r="C223" t="s">
        <v>2424</v>
      </c>
      <c r="D223" t="s">
        <v>1211</v>
      </c>
      <c r="E223" t="s">
        <v>1802</v>
      </c>
      <c r="F223" t="s">
        <v>1837</v>
      </c>
      <c r="G223" s="112">
        <v>100</v>
      </c>
      <c r="H223" s="112">
        <v>101</v>
      </c>
      <c r="I223">
        <v>20452520</v>
      </c>
      <c r="J223" s="113">
        <v>4573244730102</v>
      </c>
      <c r="K223" s="113">
        <v>2100204525205</v>
      </c>
      <c r="L223">
        <v>1</v>
      </c>
      <c r="N223" t="s">
        <v>1860</v>
      </c>
      <c r="P223" s="112" t="e">
        <f t="shared" si="3"/>
        <v>#DIV/0!</v>
      </c>
    </row>
    <row r="224" spans="1:16">
      <c r="A224">
        <v>300111</v>
      </c>
      <c r="B224" t="s">
        <v>1850</v>
      </c>
      <c r="C224" t="s">
        <v>2424</v>
      </c>
      <c r="D224" t="s">
        <v>1808</v>
      </c>
      <c r="E224" t="s">
        <v>1809</v>
      </c>
      <c r="F224" t="s">
        <v>1837</v>
      </c>
      <c r="G224" s="112">
        <v>100</v>
      </c>
      <c r="H224" s="112">
        <v>101</v>
      </c>
      <c r="I224">
        <v>20461942</v>
      </c>
      <c r="J224" s="113">
        <v>4573244730126</v>
      </c>
      <c r="L224">
        <v>8</v>
      </c>
      <c r="N224" t="s">
        <v>1860</v>
      </c>
      <c r="P224" s="112" t="e">
        <f t="shared" si="3"/>
        <v>#DIV/0!</v>
      </c>
    </row>
    <row r="225" spans="1:16">
      <c r="A225">
        <v>200265</v>
      </c>
      <c r="B225" t="s">
        <v>1850</v>
      </c>
      <c r="C225" t="s">
        <v>2425</v>
      </c>
      <c r="D225" t="s">
        <v>1922</v>
      </c>
      <c r="E225" t="s">
        <v>2001</v>
      </c>
      <c r="F225" t="s">
        <v>1798</v>
      </c>
      <c r="G225" s="112">
        <v>100</v>
      </c>
      <c r="H225" s="112">
        <v>101</v>
      </c>
      <c r="I225">
        <v>20504632</v>
      </c>
      <c r="J225" s="113">
        <v>2100205046327</v>
      </c>
      <c r="K225" s="113">
        <v>2100205046327</v>
      </c>
      <c r="L225">
        <v>12</v>
      </c>
      <c r="M225">
        <v>22</v>
      </c>
      <c r="N225" t="s">
        <v>1863</v>
      </c>
      <c r="P225" s="112">
        <f t="shared" si="3"/>
        <v>4.5454545454545459</v>
      </c>
    </row>
    <row r="226" spans="1:16">
      <c r="A226">
        <v>200266</v>
      </c>
      <c r="B226" t="s">
        <v>1850</v>
      </c>
      <c r="C226" t="s">
        <v>2425</v>
      </c>
      <c r="D226" t="s">
        <v>1923</v>
      </c>
      <c r="E226" t="s">
        <v>2058</v>
      </c>
      <c r="F226" t="s">
        <v>1798</v>
      </c>
      <c r="G226" s="112">
        <v>100</v>
      </c>
      <c r="H226" s="112">
        <v>101</v>
      </c>
      <c r="I226">
        <v>20504649</v>
      </c>
      <c r="J226" s="113">
        <v>2100205046495</v>
      </c>
      <c r="K226" s="113">
        <v>2100205046495</v>
      </c>
      <c r="L226">
        <v>10</v>
      </c>
      <c r="M226">
        <v>5.0999999999999996</v>
      </c>
      <c r="N226" t="s">
        <v>1863</v>
      </c>
      <c r="P226" s="112">
        <f t="shared" si="3"/>
        <v>19.607843137254903</v>
      </c>
    </row>
    <row r="227" spans="1:16">
      <c r="A227">
        <v>200267</v>
      </c>
      <c r="B227" t="s">
        <v>1850</v>
      </c>
      <c r="C227" t="s">
        <v>2425</v>
      </c>
      <c r="D227" t="s">
        <v>1924</v>
      </c>
      <c r="E227" t="s">
        <v>2059</v>
      </c>
      <c r="F227" t="s">
        <v>1798</v>
      </c>
      <c r="G227" s="112">
        <v>100</v>
      </c>
      <c r="H227" s="112">
        <v>101</v>
      </c>
      <c r="I227">
        <v>20504656</v>
      </c>
      <c r="J227" s="113">
        <v>2100205046563</v>
      </c>
      <c r="K227" s="113">
        <v>2100205046563</v>
      </c>
      <c r="L227">
        <v>10</v>
      </c>
      <c r="M227">
        <v>7.5</v>
      </c>
      <c r="N227" t="s">
        <v>1863</v>
      </c>
      <c r="P227" s="112">
        <f t="shared" si="3"/>
        <v>13.333333333333334</v>
      </c>
    </row>
    <row r="228" spans="1:16">
      <c r="A228">
        <v>200268</v>
      </c>
      <c r="B228" t="s">
        <v>1850</v>
      </c>
      <c r="C228" t="s">
        <v>2425</v>
      </c>
      <c r="D228" t="s">
        <v>1925</v>
      </c>
      <c r="E228" t="s">
        <v>2061</v>
      </c>
      <c r="F228" t="s">
        <v>1798</v>
      </c>
      <c r="G228" s="112">
        <v>100</v>
      </c>
      <c r="H228" s="112">
        <v>101</v>
      </c>
      <c r="I228">
        <v>20504663</v>
      </c>
      <c r="J228" s="113">
        <v>2100205046631</v>
      </c>
      <c r="K228" s="113">
        <v>2100205046631</v>
      </c>
      <c r="L228">
        <v>2</v>
      </c>
      <c r="M228">
        <v>20.399999999999999</v>
      </c>
      <c r="N228" t="s">
        <v>1863</v>
      </c>
      <c r="P228" s="112">
        <f t="shared" si="3"/>
        <v>4.9019607843137258</v>
      </c>
    </row>
    <row r="229" spans="1:16">
      <c r="A229">
        <v>200269</v>
      </c>
      <c r="B229" t="s">
        <v>1850</v>
      </c>
      <c r="C229" t="s">
        <v>2425</v>
      </c>
      <c r="D229" t="s">
        <v>1926</v>
      </c>
      <c r="E229" t="s">
        <v>2060</v>
      </c>
      <c r="F229" t="s">
        <v>1798</v>
      </c>
      <c r="G229" s="112">
        <v>100</v>
      </c>
      <c r="H229" s="112">
        <v>101</v>
      </c>
      <c r="I229">
        <v>20504670</v>
      </c>
      <c r="J229" s="113">
        <v>2100205046709</v>
      </c>
      <c r="K229" s="113">
        <v>2100205046709</v>
      </c>
      <c r="L229">
        <v>2</v>
      </c>
      <c r="M229">
        <v>26.8</v>
      </c>
      <c r="N229" t="s">
        <v>1863</v>
      </c>
      <c r="P229" s="112">
        <f t="shared" si="3"/>
        <v>3.7313432835820897</v>
      </c>
    </row>
    <row r="230" spans="1:16">
      <c r="A230">
        <v>200270</v>
      </c>
      <c r="B230" t="s">
        <v>1850</v>
      </c>
      <c r="C230" t="s">
        <v>2425</v>
      </c>
      <c r="D230" t="s">
        <v>1927</v>
      </c>
      <c r="E230" t="s">
        <v>2064</v>
      </c>
      <c r="F230" t="s">
        <v>1798</v>
      </c>
      <c r="G230" s="112">
        <v>100</v>
      </c>
      <c r="H230" s="112">
        <v>101</v>
      </c>
      <c r="I230">
        <v>20504687</v>
      </c>
      <c r="J230" s="113">
        <v>2100205046877</v>
      </c>
      <c r="K230" s="113">
        <v>2100205046877</v>
      </c>
      <c r="L230">
        <v>2</v>
      </c>
      <c r="M230">
        <v>32.799999999999997</v>
      </c>
      <c r="N230" t="s">
        <v>1863</v>
      </c>
      <c r="P230" s="112">
        <f t="shared" si="3"/>
        <v>3.0487804878048781</v>
      </c>
    </row>
    <row r="231" spans="1:16">
      <c r="A231">
        <v>200271</v>
      </c>
      <c r="B231" t="s">
        <v>1850</v>
      </c>
      <c r="C231" t="s">
        <v>2425</v>
      </c>
      <c r="D231" t="s">
        <v>1928</v>
      </c>
      <c r="E231" t="s">
        <v>2020</v>
      </c>
      <c r="F231" t="s">
        <v>1798</v>
      </c>
      <c r="G231" s="112">
        <v>100</v>
      </c>
      <c r="H231" s="112">
        <v>101</v>
      </c>
      <c r="I231">
        <v>20504694</v>
      </c>
      <c r="J231" s="113">
        <v>2100205046945</v>
      </c>
      <c r="K231" s="113">
        <v>2100205046945</v>
      </c>
      <c r="L231">
        <v>200</v>
      </c>
      <c r="M231">
        <v>0.26</v>
      </c>
      <c r="N231" t="s">
        <v>1863</v>
      </c>
      <c r="P231" s="112">
        <f t="shared" si="3"/>
        <v>384.61538461538458</v>
      </c>
    </row>
    <row r="232" spans="1:16">
      <c r="A232">
        <v>200272</v>
      </c>
      <c r="B232" t="s">
        <v>1850</v>
      </c>
      <c r="C232" t="s">
        <v>2425</v>
      </c>
      <c r="D232" t="s">
        <v>1929</v>
      </c>
      <c r="E232" t="s">
        <v>2012</v>
      </c>
      <c r="F232" t="s">
        <v>1798</v>
      </c>
      <c r="G232" s="112">
        <v>100</v>
      </c>
      <c r="H232" s="112">
        <v>101</v>
      </c>
      <c r="I232">
        <v>20504700</v>
      </c>
      <c r="J232" s="113">
        <v>2100205047003</v>
      </c>
      <c r="K232" s="113">
        <v>2100205047003</v>
      </c>
      <c r="L232">
        <v>2000</v>
      </c>
      <c r="M232">
        <v>13</v>
      </c>
      <c r="N232" t="s">
        <v>1863</v>
      </c>
      <c r="P232" s="112">
        <f t="shared" si="3"/>
        <v>7.6923076923076925</v>
      </c>
    </row>
    <row r="233" spans="1:16">
      <c r="A233">
        <v>300112</v>
      </c>
      <c r="B233" t="s">
        <v>1850</v>
      </c>
      <c r="C233" t="s">
        <v>2424</v>
      </c>
      <c r="D233" t="s">
        <v>1838</v>
      </c>
      <c r="E233" t="s">
        <v>1839</v>
      </c>
      <c r="F233" t="s">
        <v>1837</v>
      </c>
      <c r="G233" s="112">
        <v>100</v>
      </c>
      <c r="H233" s="112">
        <v>101</v>
      </c>
      <c r="I233">
        <v>20461959</v>
      </c>
      <c r="J233" s="113">
        <v>4573244730133</v>
      </c>
      <c r="L233">
        <v>5</v>
      </c>
      <c r="N233" t="s">
        <v>1861</v>
      </c>
      <c r="P233" s="112" t="e">
        <f t="shared" si="3"/>
        <v>#DIV/0!</v>
      </c>
    </row>
    <row r="234" spans="1:16">
      <c r="A234">
        <v>300113</v>
      </c>
      <c r="B234" t="s">
        <v>1850</v>
      </c>
      <c r="C234" t="s">
        <v>2424</v>
      </c>
      <c r="D234" t="s">
        <v>1833</v>
      </c>
      <c r="E234" t="s">
        <v>1834</v>
      </c>
      <c r="F234" t="s">
        <v>1837</v>
      </c>
      <c r="G234" s="112">
        <v>100</v>
      </c>
      <c r="H234" s="112">
        <v>101</v>
      </c>
      <c r="I234">
        <v>20461966</v>
      </c>
      <c r="J234" s="113">
        <v>4573244730140</v>
      </c>
      <c r="L234">
        <v>1</v>
      </c>
      <c r="N234" t="s">
        <v>1860</v>
      </c>
      <c r="P234" s="112" t="e">
        <f t="shared" si="3"/>
        <v>#DIV/0!</v>
      </c>
    </row>
    <row r="235" spans="1:16">
      <c r="A235">
        <v>300201</v>
      </c>
      <c r="B235" t="s">
        <v>1850</v>
      </c>
      <c r="C235" t="s">
        <v>2425</v>
      </c>
      <c r="D235" t="s">
        <v>1862</v>
      </c>
      <c r="E235" t="s">
        <v>2030</v>
      </c>
      <c r="F235" t="s">
        <v>1837</v>
      </c>
      <c r="G235" s="112">
        <v>100</v>
      </c>
      <c r="H235" s="112">
        <v>101</v>
      </c>
      <c r="I235">
        <v>20503994</v>
      </c>
      <c r="J235" s="113">
        <v>2100205039947</v>
      </c>
      <c r="K235" s="113">
        <v>2100205039947</v>
      </c>
      <c r="L235">
        <v>36</v>
      </c>
      <c r="M235">
        <v>7</v>
      </c>
      <c r="N235" t="s">
        <v>1863</v>
      </c>
      <c r="P235" s="112">
        <f t="shared" si="3"/>
        <v>14.285714285714286</v>
      </c>
    </row>
    <row r="236" spans="1:16">
      <c r="A236">
        <v>300202</v>
      </c>
      <c r="B236" t="s">
        <v>1850</v>
      </c>
      <c r="C236" t="s">
        <v>2425</v>
      </c>
      <c r="D236" t="s">
        <v>1864</v>
      </c>
      <c r="E236" t="s">
        <v>2026</v>
      </c>
      <c r="F236" t="s">
        <v>1837</v>
      </c>
      <c r="G236" s="112">
        <v>100</v>
      </c>
      <c r="H236" s="112">
        <v>101</v>
      </c>
      <c r="I236">
        <v>20504007</v>
      </c>
      <c r="J236" s="113">
        <v>2100205040073</v>
      </c>
      <c r="K236" s="113">
        <v>2100205040073</v>
      </c>
      <c r="L236">
        <v>27</v>
      </c>
      <c r="M236">
        <v>12</v>
      </c>
      <c r="N236" t="s">
        <v>1863</v>
      </c>
      <c r="P236" s="112">
        <f t="shared" si="3"/>
        <v>8.3333333333333339</v>
      </c>
    </row>
    <row r="237" spans="1:16">
      <c r="A237">
        <v>300203</v>
      </c>
      <c r="B237" t="s">
        <v>1850</v>
      </c>
      <c r="C237" t="s">
        <v>2425</v>
      </c>
      <c r="D237" t="s">
        <v>1865</v>
      </c>
      <c r="E237" t="s">
        <v>2027</v>
      </c>
      <c r="F237" t="s">
        <v>1837</v>
      </c>
      <c r="G237" s="112">
        <v>100</v>
      </c>
      <c r="H237" s="112">
        <v>101</v>
      </c>
      <c r="I237">
        <v>20504014</v>
      </c>
      <c r="J237" s="113">
        <v>2100205040141</v>
      </c>
      <c r="K237" s="113">
        <v>2100205040141</v>
      </c>
      <c r="L237">
        <v>21</v>
      </c>
      <c r="M237">
        <v>19</v>
      </c>
      <c r="N237" t="s">
        <v>1863</v>
      </c>
      <c r="P237" s="112">
        <f t="shared" si="3"/>
        <v>5.2631578947368425</v>
      </c>
    </row>
    <row r="238" spans="1:16">
      <c r="A238">
        <v>300204</v>
      </c>
      <c r="B238" t="s">
        <v>1850</v>
      </c>
      <c r="C238" t="s">
        <v>2425</v>
      </c>
      <c r="D238" t="s">
        <v>1866</v>
      </c>
      <c r="E238" t="s">
        <v>1991</v>
      </c>
      <c r="F238" t="s">
        <v>1837</v>
      </c>
      <c r="G238" s="112">
        <v>100</v>
      </c>
      <c r="H238" s="112">
        <v>101</v>
      </c>
      <c r="I238">
        <v>20504021</v>
      </c>
      <c r="J238" s="113">
        <v>2100205040219</v>
      </c>
      <c r="K238" s="113">
        <v>2100205040219</v>
      </c>
      <c r="L238">
        <v>10</v>
      </c>
      <c r="M238">
        <v>25</v>
      </c>
      <c r="N238" t="s">
        <v>1863</v>
      </c>
      <c r="P238" s="112">
        <f t="shared" si="3"/>
        <v>4</v>
      </c>
    </row>
    <row r="239" spans="1:16">
      <c r="A239">
        <v>300205</v>
      </c>
      <c r="B239" t="s">
        <v>1850</v>
      </c>
      <c r="C239" t="s">
        <v>2425</v>
      </c>
      <c r="D239" t="s">
        <v>1867</v>
      </c>
      <c r="E239" t="s">
        <v>1997</v>
      </c>
      <c r="F239" t="s">
        <v>1837</v>
      </c>
      <c r="G239" s="112">
        <v>100</v>
      </c>
      <c r="H239" s="112">
        <v>101</v>
      </c>
      <c r="I239">
        <v>20504038</v>
      </c>
      <c r="J239" s="113">
        <v>2100205040387</v>
      </c>
      <c r="K239" s="113">
        <v>2100205040387</v>
      </c>
      <c r="L239">
        <v>10</v>
      </c>
      <c r="M239">
        <v>33</v>
      </c>
      <c r="N239" t="s">
        <v>1863</v>
      </c>
      <c r="P239" s="112">
        <f t="shared" si="3"/>
        <v>3.0303030303030303</v>
      </c>
    </row>
    <row r="240" spans="1:16">
      <c r="A240">
        <v>300206</v>
      </c>
      <c r="B240" t="s">
        <v>1850</v>
      </c>
      <c r="C240" t="s">
        <v>2425</v>
      </c>
      <c r="D240" t="s">
        <v>1868</v>
      </c>
      <c r="E240" t="s">
        <v>2021</v>
      </c>
      <c r="F240" t="s">
        <v>1837</v>
      </c>
      <c r="G240" s="112">
        <v>100</v>
      </c>
      <c r="H240" s="112">
        <v>101</v>
      </c>
      <c r="I240">
        <v>20504045</v>
      </c>
      <c r="J240" s="113">
        <v>2100205040455</v>
      </c>
      <c r="K240" s="113">
        <v>2100205040455</v>
      </c>
      <c r="L240">
        <v>3</v>
      </c>
      <c r="M240">
        <v>53</v>
      </c>
      <c r="N240" t="s">
        <v>1863</v>
      </c>
      <c r="P240" s="112">
        <f t="shared" si="3"/>
        <v>1.8867924528301887</v>
      </c>
    </row>
    <row r="241" spans="1:16">
      <c r="A241">
        <v>300207</v>
      </c>
      <c r="B241" t="s">
        <v>1850</v>
      </c>
      <c r="C241" t="s">
        <v>2425</v>
      </c>
      <c r="D241" t="s">
        <v>1869</v>
      </c>
      <c r="E241" t="s">
        <v>2051</v>
      </c>
      <c r="F241" t="s">
        <v>1837</v>
      </c>
      <c r="G241" s="112">
        <v>100</v>
      </c>
      <c r="H241" s="112">
        <v>101</v>
      </c>
      <c r="I241">
        <v>20504052</v>
      </c>
      <c r="J241" s="113">
        <v>2100205040523</v>
      </c>
      <c r="K241" s="113">
        <v>2100205040523</v>
      </c>
      <c r="L241">
        <v>3</v>
      </c>
      <c r="M241">
        <v>76</v>
      </c>
      <c r="N241" t="s">
        <v>1863</v>
      </c>
      <c r="P241" s="112">
        <f t="shared" si="3"/>
        <v>1.3157894736842106</v>
      </c>
    </row>
    <row r="242" spans="1:16">
      <c r="A242">
        <v>300208</v>
      </c>
      <c r="B242" t="s">
        <v>1850</v>
      </c>
      <c r="C242" t="s">
        <v>2425</v>
      </c>
      <c r="D242" t="s">
        <v>1870</v>
      </c>
      <c r="E242" t="s">
        <v>2024</v>
      </c>
      <c r="F242" t="s">
        <v>1837</v>
      </c>
      <c r="G242" s="112">
        <v>100</v>
      </c>
      <c r="H242" s="112">
        <v>101</v>
      </c>
      <c r="I242">
        <v>20504069</v>
      </c>
      <c r="J242" s="113">
        <v>2100205040691</v>
      </c>
      <c r="K242" s="113">
        <v>2100205040691</v>
      </c>
      <c r="L242">
        <v>10</v>
      </c>
      <c r="M242">
        <v>4</v>
      </c>
      <c r="N242" t="s">
        <v>1863</v>
      </c>
      <c r="P242" s="112">
        <f t="shared" si="3"/>
        <v>25</v>
      </c>
    </row>
    <row r="243" spans="1:16">
      <c r="A243">
        <v>300209</v>
      </c>
      <c r="B243" t="s">
        <v>1850</v>
      </c>
      <c r="C243" t="s">
        <v>2425</v>
      </c>
      <c r="D243" t="s">
        <v>1871</v>
      </c>
      <c r="E243" t="s">
        <v>2031</v>
      </c>
      <c r="F243" t="s">
        <v>1837</v>
      </c>
      <c r="G243" s="112">
        <v>100</v>
      </c>
      <c r="H243" s="112">
        <v>101</v>
      </c>
      <c r="I243">
        <v>20504076</v>
      </c>
      <c r="J243" s="113">
        <v>2100205040769</v>
      </c>
      <c r="K243" s="113">
        <v>2100205040769</v>
      </c>
      <c r="L243">
        <v>10</v>
      </c>
      <c r="M243">
        <v>6</v>
      </c>
      <c r="N243" t="s">
        <v>1863</v>
      </c>
      <c r="P243" s="112">
        <f t="shared" si="3"/>
        <v>16.666666666666668</v>
      </c>
    </row>
    <row r="244" spans="1:16">
      <c r="A244">
        <v>300210</v>
      </c>
      <c r="B244" t="s">
        <v>1850</v>
      </c>
      <c r="C244" t="s">
        <v>2425</v>
      </c>
      <c r="D244" t="s">
        <v>1872</v>
      </c>
      <c r="E244" t="s">
        <v>2015</v>
      </c>
      <c r="F244" t="s">
        <v>1837</v>
      </c>
      <c r="G244" s="112">
        <v>100</v>
      </c>
      <c r="H244" s="112">
        <v>101</v>
      </c>
      <c r="I244">
        <v>20504083</v>
      </c>
      <c r="J244" s="113">
        <v>2100205040837</v>
      </c>
      <c r="K244" s="113">
        <v>2100205040837</v>
      </c>
      <c r="L244">
        <v>10</v>
      </c>
      <c r="M244">
        <v>8</v>
      </c>
      <c r="N244" t="s">
        <v>1863</v>
      </c>
      <c r="P244" s="112">
        <f t="shared" si="3"/>
        <v>12.5</v>
      </c>
    </row>
    <row r="245" spans="1:16">
      <c r="A245">
        <v>300211</v>
      </c>
      <c r="B245" t="s">
        <v>1850</v>
      </c>
      <c r="C245" t="s">
        <v>2425</v>
      </c>
      <c r="D245" t="s">
        <v>1873</v>
      </c>
      <c r="E245" t="s">
        <v>2011</v>
      </c>
      <c r="F245" t="s">
        <v>1837</v>
      </c>
      <c r="G245" s="112">
        <v>100</v>
      </c>
      <c r="H245" s="112">
        <v>101</v>
      </c>
      <c r="I245">
        <v>20504090</v>
      </c>
      <c r="J245" s="113">
        <v>2100205040905</v>
      </c>
      <c r="K245" s="113">
        <v>2100205040905</v>
      </c>
      <c r="L245">
        <v>10</v>
      </c>
      <c r="M245">
        <v>10</v>
      </c>
      <c r="N245" t="s">
        <v>1863</v>
      </c>
      <c r="P245" s="112">
        <f t="shared" si="3"/>
        <v>10</v>
      </c>
    </row>
    <row r="246" spans="1:16">
      <c r="A246">
        <v>300212</v>
      </c>
      <c r="B246" t="s">
        <v>1850</v>
      </c>
      <c r="C246" t="s">
        <v>2425</v>
      </c>
      <c r="D246" t="s">
        <v>1874</v>
      </c>
      <c r="E246" t="s">
        <v>1998</v>
      </c>
      <c r="F246" t="s">
        <v>1837</v>
      </c>
      <c r="G246" s="112">
        <v>100</v>
      </c>
      <c r="H246" s="112">
        <v>101</v>
      </c>
      <c r="I246">
        <v>20504106</v>
      </c>
      <c r="J246" s="113">
        <v>2100205041063</v>
      </c>
      <c r="K246" s="113">
        <v>2100205041063</v>
      </c>
      <c r="L246">
        <v>10</v>
      </c>
      <c r="M246">
        <v>13</v>
      </c>
      <c r="N246" t="s">
        <v>1863</v>
      </c>
      <c r="P246" s="112">
        <f t="shared" si="3"/>
        <v>7.6923076923076925</v>
      </c>
    </row>
    <row r="247" spans="1:16">
      <c r="A247">
        <v>300213</v>
      </c>
      <c r="B247" t="s">
        <v>1850</v>
      </c>
      <c r="C247" t="s">
        <v>2425</v>
      </c>
      <c r="D247" t="s">
        <v>1875</v>
      </c>
      <c r="E247" t="s">
        <v>2009</v>
      </c>
      <c r="F247" t="s">
        <v>1837</v>
      </c>
      <c r="G247" s="112">
        <v>100</v>
      </c>
      <c r="H247" s="112">
        <v>101</v>
      </c>
      <c r="I247">
        <v>20504113</v>
      </c>
      <c r="J247" s="113">
        <v>2100205041131</v>
      </c>
      <c r="K247" s="113">
        <v>2100205041131</v>
      </c>
      <c r="L247">
        <v>5</v>
      </c>
      <c r="M247">
        <v>19</v>
      </c>
      <c r="N247" t="s">
        <v>1863</v>
      </c>
      <c r="P247" s="112">
        <f t="shared" si="3"/>
        <v>5.2631578947368425</v>
      </c>
    </row>
    <row r="248" spans="1:16">
      <c r="A248">
        <v>300214</v>
      </c>
      <c r="B248" t="s">
        <v>1850</v>
      </c>
      <c r="C248" t="s">
        <v>2425</v>
      </c>
      <c r="D248" t="s">
        <v>1876</v>
      </c>
      <c r="E248" t="s">
        <v>2013</v>
      </c>
      <c r="F248" t="s">
        <v>1837</v>
      </c>
      <c r="G248" s="112">
        <v>100</v>
      </c>
      <c r="H248" s="112">
        <v>101</v>
      </c>
      <c r="I248">
        <v>20504120</v>
      </c>
      <c r="J248" s="113">
        <v>2100205041209</v>
      </c>
      <c r="K248" s="113">
        <v>2100205041209</v>
      </c>
      <c r="L248">
        <v>5</v>
      </c>
      <c r="M248">
        <v>32</v>
      </c>
      <c r="N248" t="s">
        <v>1863</v>
      </c>
      <c r="P248" s="112">
        <f t="shared" si="3"/>
        <v>3.125</v>
      </c>
    </row>
    <row r="249" spans="1:16">
      <c r="A249">
        <v>300215</v>
      </c>
      <c r="B249" t="s">
        <v>1850</v>
      </c>
      <c r="C249" t="s">
        <v>2425</v>
      </c>
      <c r="D249" t="s">
        <v>1877</v>
      </c>
      <c r="E249" t="s">
        <v>2029</v>
      </c>
      <c r="F249" t="s">
        <v>1837</v>
      </c>
      <c r="G249" s="112">
        <v>100</v>
      </c>
      <c r="H249" s="112">
        <v>101</v>
      </c>
      <c r="I249">
        <v>20504137</v>
      </c>
      <c r="J249" s="113">
        <v>2100205041377</v>
      </c>
      <c r="K249" s="113">
        <v>2100205041377</v>
      </c>
      <c r="L249">
        <v>33</v>
      </c>
      <c r="M249">
        <v>12</v>
      </c>
      <c r="N249" t="s">
        <v>1863</v>
      </c>
      <c r="P249" s="112">
        <f t="shared" si="3"/>
        <v>8.3333333333333339</v>
      </c>
    </row>
    <row r="250" spans="1:16">
      <c r="A250">
        <v>300216</v>
      </c>
      <c r="B250" t="s">
        <v>1850</v>
      </c>
      <c r="C250" t="s">
        <v>2425</v>
      </c>
      <c r="D250" t="s">
        <v>1848</v>
      </c>
      <c r="E250" t="s">
        <v>1988</v>
      </c>
      <c r="F250" t="s">
        <v>1837</v>
      </c>
      <c r="G250" s="112">
        <v>100</v>
      </c>
      <c r="H250" s="112">
        <v>101</v>
      </c>
      <c r="I250">
        <v>20504144</v>
      </c>
      <c r="J250" s="113">
        <v>2100205041445</v>
      </c>
      <c r="K250" s="113">
        <v>2100205041445</v>
      </c>
      <c r="L250">
        <v>27</v>
      </c>
      <c r="M250">
        <v>20</v>
      </c>
      <c r="N250" t="s">
        <v>1863</v>
      </c>
      <c r="P250" s="112">
        <f t="shared" si="3"/>
        <v>5</v>
      </c>
    </row>
    <row r="251" spans="1:16">
      <c r="A251">
        <v>300217</v>
      </c>
      <c r="B251" t="s">
        <v>1850</v>
      </c>
      <c r="C251" t="s">
        <v>2425</v>
      </c>
      <c r="D251" t="s">
        <v>1878</v>
      </c>
      <c r="E251" t="s">
        <v>2033</v>
      </c>
      <c r="F251" t="s">
        <v>1837</v>
      </c>
      <c r="G251" s="112">
        <v>100</v>
      </c>
      <c r="H251" s="112">
        <v>101</v>
      </c>
      <c r="I251">
        <v>20504151</v>
      </c>
      <c r="J251" s="113">
        <v>2100205041513</v>
      </c>
      <c r="K251" s="113">
        <v>2100205041513</v>
      </c>
      <c r="L251">
        <v>21</v>
      </c>
      <c r="M251">
        <v>30</v>
      </c>
      <c r="N251" t="s">
        <v>1863</v>
      </c>
      <c r="P251" s="112">
        <f t="shared" si="3"/>
        <v>3.3333333333333335</v>
      </c>
    </row>
    <row r="252" spans="1:16">
      <c r="A252">
        <v>300218</v>
      </c>
      <c r="B252" t="s">
        <v>1850</v>
      </c>
      <c r="C252" t="s">
        <v>2425</v>
      </c>
      <c r="D252" t="s">
        <v>1879</v>
      </c>
      <c r="E252" t="s">
        <v>1992</v>
      </c>
      <c r="F252" t="s">
        <v>1837</v>
      </c>
      <c r="G252" s="112">
        <v>100</v>
      </c>
      <c r="H252" s="112">
        <v>101</v>
      </c>
      <c r="I252">
        <v>20504168</v>
      </c>
      <c r="J252" s="113">
        <v>2100205041681</v>
      </c>
      <c r="K252" s="113">
        <v>2100205041681</v>
      </c>
      <c r="L252">
        <v>10</v>
      </c>
      <c r="M252">
        <v>39</v>
      </c>
      <c r="N252" t="s">
        <v>1863</v>
      </c>
      <c r="P252" s="112">
        <f t="shared" si="3"/>
        <v>2.5641025641025643</v>
      </c>
    </row>
    <row r="253" spans="1:16">
      <c r="A253">
        <v>300219</v>
      </c>
      <c r="B253" t="s">
        <v>1850</v>
      </c>
      <c r="C253" t="s">
        <v>2425</v>
      </c>
      <c r="D253" t="s">
        <v>1880</v>
      </c>
      <c r="E253" t="s">
        <v>1993</v>
      </c>
      <c r="F253" t="s">
        <v>1837</v>
      </c>
      <c r="G253" s="112">
        <v>100</v>
      </c>
      <c r="H253" s="112">
        <v>101</v>
      </c>
      <c r="I253">
        <v>20504175</v>
      </c>
      <c r="J253" s="113">
        <v>2100205041759</v>
      </c>
      <c r="K253" s="113">
        <v>2100205041759</v>
      </c>
      <c r="L253">
        <v>1</v>
      </c>
      <c r="M253">
        <v>26</v>
      </c>
      <c r="N253" t="s">
        <v>1863</v>
      </c>
      <c r="P253" s="112">
        <f t="shared" si="3"/>
        <v>3.8461538461538463</v>
      </c>
    </row>
    <row r="254" spans="1:16">
      <c r="A254">
        <v>300220</v>
      </c>
      <c r="B254" t="s">
        <v>1850</v>
      </c>
      <c r="C254" t="s">
        <v>2425</v>
      </c>
      <c r="D254" t="s">
        <v>1881</v>
      </c>
      <c r="E254" t="s">
        <v>1986</v>
      </c>
      <c r="F254" t="s">
        <v>1837</v>
      </c>
      <c r="G254" s="112">
        <v>100</v>
      </c>
      <c r="H254" s="112">
        <v>101</v>
      </c>
      <c r="I254">
        <v>20504182</v>
      </c>
      <c r="J254" s="113">
        <v>2100205041827</v>
      </c>
      <c r="K254" s="113">
        <v>2100205041827</v>
      </c>
      <c r="L254">
        <v>1</v>
      </c>
      <c r="M254">
        <v>40</v>
      </c>
      <c r="N254" t="s">
        <v>1863</v>
      </c>
      <c r="P254" s="112">
        <f t="shared" si="3"/>
        <v>2.5</v>
      </c>
    </row>
    <row r="255" spans="1:16">
      <c r="A255">
        <v>300221</v>
      </c>
      <c r="B255" t="s">
        <v>1850</v>
      </c>
      <c r="C255" t="s">
        <v>2425</v>
      </c>
      <c r="D255" t="s">
        <v>1882</v>
      </c>
      <c r="E255" t="s">
        <v>1989</v>
      </c>
      <c r="F255" t="s">
        <v>1837</v>
      </c>
      <c r="G255" s="112">
        <v>100</v>
      </c>
      <c r="H255" s="112">
        <v>101</v>
      </c>
      <c r="I255">
        <v>20504199</v>
      </c>
      <c r="J255" s="113">
        <v>2100205041995</v>
      </c>
      <c r="K255" s="113">
        <v>2100205041995</v>
      </c>
      <c r="L255">
        <v>1</v>
      </c>
      <c r="M255">
        <v>61</v>
      </c>
      <c r="N255" t="s">
        <v>1863</v>
      </c>
      <c r="P255" s="112">
        <f t="shared" si="3"/>
        <v>1.639344262295082</v>
      </c>
    </row>
    <row r="256" spans="1:16">
      <c r="A256">
        <v>300222</v>
      </c>
      <c r="B256" t="s">
        <v>1850</v>
      </c>
      <c r="C256" t="s">
        <v>2425</v>
      </c>
      <c r="D256" t="s">
        <v>1883</v>
      </c>
      <c r="E256" t="s">
        <v>2002</v>
      </c>
      <c r="F256" t="s">
        <v>1837</v>
      </c>
      <c r="G256" s="112">
        <v>100</v>
      </c>
      <c r="H256" s="112">
        <v>101</v>
      </c>
      <c r="I256">
        <v>20504205</v>
      </c>
      <c r="J256" s="113">
        <v>2100205042053</v>
      </c>
      <c r="K256" s="113">
        <v>2100205042053</v>
      </c>
      <c r="L256">
        <v>2</v>
      </c>
      <c r="M256">
        <v>5</v>
      </c>
      <c r="N256" t="s">
        <v>1863</v>
      </c>
      <c r="P256" s="112">
        <f t="shared" si="3"/>
        <v>20</v>
      </c>
    </row>
    <row r="257" spans="1:16">
      <c r="A257">
        <v>300223</v>
      </c>
      <c r="B257" t="s">
        <v>1850</v>
      </c>
      <c r="C257" t="s">
        <v>2425</v>
      </c>
      <c r="D257" t="s">
        <v>1884</v>
      </c>
      <c r="E257" t="s">
        <v>1994</v>
      </c>
      <c r="F257" t="s">
        <v>1837</v>
      </c>
      <c r="G257" s="112">
        <v>100</v>
      </c>
      <c r="H257" s="112">
        <v>101</v>
      </c>
      <c r="I257">
        <v>20504212</v>
      </c>
      <c r="J257" s="113">
        <v>2100205042121</v>
      </c>
      <c r="K257" s="113">
        <v>2100205042121</v>
      </c>
      <c r="L257">
        <v>2</v>
      </c>
      <c r="M257">
        <v>8</v>
      </c>
      <c r="N257" t="s">
        <v>1863</v>
      </c>
      <c r="P257" s="112">
        <f t="shared" si="3"/>
        <v>12.5</v>
      </c>
    </row>
    <row r="258" spans="1:16">
      <c r="A258">
        <v>300224</v>
      </c>
      <c r="B258" t="s">
        <v>1850</v>
      </c>
      <c r="C258" t="s">
        <v>2425</v>
      </c>
      <c r="D258" t="s">
        <v>1885</v>
      </c>
      <c r="E258" t="s">
        <v>1990</v>
      </c>
      <c r="F258" t="s">
        <v>1837</v>
      </c>
      <c r="G258" s="112">
        <v>100</v>
      </c>
      <c r="H258" s="112">
        <v>101</v>
      </c>
      <c r="I258">
        <v>20504229</v>
      </c>
      <c r="J258" s="113">
        <v>2100205042299</v>
      </c>
      <c r="K258" s="113">
        <v>2100205042299</v>
      </c>
      <c r="L258">
        <v>2</v>
      </c>
      <c r="M258">
        <v>12</v>
      </c>
      <c r="N258" t="s">
        <v>1863</v>
      </c>
      <c r="P258" s="112">
        <f t="shared" si="3"/>
        <v>8.3333333333333339</v>
      </c>
    </row>
    <row r="259" spans="1:16">
      <c r="A259">
        <v>300225</v>
      </c>
      <c r="B259" t="s">
        <v>1850</v>
      </c>
      <c r="C259" t="s">
        <v>2425</v>
      </c>
      <c r="D259" t="s">
        <v>1886</v>
      </c>
      <c r="E259" t="s">
        <v>1995</v>
      </c>
      <c r="F259" t="s">
        <v>1837</v>
      </c>
      <c r="G259" s="112">
        <v>100</v>
      </c>
      <c r="H259" s="112">
        <v>101</v>
      </c>
      <c r="I259">
        <v>20504236</v>
      </c>
      <c r="J259" s="113">
        <v>2100205042367</v>
      </c>
      <c r="K259" s="113">
        <v>2100205042367</v>
      </c>
      <c r="L259">
        <v>2</v>
      </c>
      <c r="M259">
        <v>14</v>
      </c>
      <c r="N259" t="s">
        <v>1863</v>
      </c>
      <c r="P259" s="112">
        <f t="shared" ref="P259:P268" si="4">G259/M259</f>
        <v>7.1428571428571432</v>
      </c>
    </row>
    <row r="260" spans="1:16">
      <c r="A260">
        <v>300226</v>
      </c>
      <c r="B260" t="s">
        <v>1850</v>
      </c>
      <c r="C260" t="s">
        <v>2425</v>
      </c>
      <c r="D260" t="s">
        <v>1887</v>
      </c>
      <c r="E260" t="s">
        <v>2016</v>
      </c>
      <c r="F260" t="s">
        <v>1837</v>
      </c>
      <c r="G260" s="112">
        <v>100</v>
      </c>
      <c r="H260" s="112">
        <v>101</v>
      </c>
      <c r="I260">
        <v>20504243</v>
      </c>
      <c r="J260" s="113">
        <v>2100205042435</v>
      </c>
      <c r="K260" s="113">
        <v>2100205042435</v>
      </c>
      <c r="L260">
        <v>2</v>
      </c>
      <c r="M260">
        <v>19</v>
      </c>
      <c r="N260" t="s">
        <v>1863</v>
      </c>
      <c r="P260" s="112">
        <f t="shared" si="4"/>
        <v>5.2631578947368425</v>
      </c>
    </row>
    <row r="261" spans="1:16">
      <c r="A261">
        <v>300227</v>
      </c>
      <c r="B261" t="s">
        <v>1850</v>
      </c>
      <c r="C261" t="s">
        <v>2425</v>
      </c>
      <c r="D261" t="s">
        <v>1888</v>
      </c>
      <c r="E261" t="s">
        <v>2017</v>
      </c>
      <c r="F261" t="s">
        <v>1837</v>
      </c>
      <c r="G261" s="112">
        <v>100</v>
      </c>
      <c r="H261" s="112">
        <v>101</v>
      </c>
      <c r="I261">
        <v>20504250</v>
      </c>
      <c r="J261" s="113">
        <v>2100205042503</v>
      </c>
      <c r="K261" s="113">
        <v>2100205042503</v>
      </c>
      <c r="L261">
        <v>2</v>
      </c>
      <c r="M261">
        <v>22</v>
      </c>
      <c r="N261" t="s">
        <v>1863</v>
      </c>
      <c r="P261" s="112">
        <f t="shared" si="4"/>
        <v>4.5454545454545459</v>
      </c>
    </row>
    <row r="262" spans="1:16">
      <c r="A262">
        <v>300228</v>
      </c>
      <c r="B262" t="s">
        <v>1850</v>
      </c>
      <c r="C262" t="s">
        <v>2425</v>
      </c>
      <c r="D262" t="s">
        <v>1843</v>
      </c>
      <c r="E262" t="s">
        <v>2062</v>
      </c>
      <c r="F262" t="s">
        <v>1837</v>
      </c>
      <c r="G262" s="112">
        <v>100</v>
      </c>
      <c r="H262" s="112">
        <v>101</v>
      </c>
      <c r="I262">
        <v>20504267</v>
      </c>
      <c r="J262" s="113">
        <v>2100205042671</v>
      </c>
      <c r="K262" s="113">
        <v>2100205042671</v>
      </c>
      <c r="L262">
        <v>2</v>
      </c>
      <c r="M262">
        <v>19</v>
      </c>
      <c r="N262" t="s">
        <v>1863</v>
      </c>
      <c r="P262" s="112">
        <f t="shared" si="4"/>
        <v>5.2631578947368425</v>
      </c>
    </row>
    <row r="263" spans="1:16">
      <c r="A263">
        <v>300229</v>
      </c>
      <c r="B263" t="s">
        <v>1850</v>
      </c>
      <c r="C263" t="s">
        <v>2425</v>
      </c>
      <c r="D263" t="s">
        <v>1844</v>
      </c>
      <c r="E263" t="s">
        <v>2053</v>
      </c>
      <c r="F263" t="s">
        <v>1837</v>
      </c>
      <c r="G263" s="112">
        <v>100</v>
      </c>
      <c r="H263" s="112">
        <v>101</v>
      </c>
      <c r="I263">
        <v>20504274</v>
      </c>
      <c r="J263" s="113">
        <v>2100205042749</v>
      </c>
      <c r="K263" s="113">
        <v>2100205042749</v>
      </c>
      <c r="L263">
        <v>2</v>
      </c>
      <c r="M263">
        <v>26</v>
      </c>
      <c r="N263" t="s">
        <v>1863</v>
      </c>
      <c r="P263" s="112">
        <f t="shared" si="4"/>
        <v>3.8461538461538463</v>
      </c>
    </row>
    <row r="264" spans="1:16">
      <c r="A264">
        <v>300230</v>
      </c>
      <c r="B264" t="s">
        <v>1850</v>
      </c>
      <c r="C264" t="s">
        <v>2425</v>
      </c>
      <c r="D264" t="s">
        <v>1845</v>
      </c>
      <c r="E264" t="s">
        <v>2063</v>
      </c>
      <c r="F264" t="s">
        <v>1837</v>
      </c>
      <c r="G264" s="112">
        <v>100</v>
      </c>
      <c r="H264" s="112">
        <v>101</v>
      </c>
      <c r="I264">
        <v>20504281</v>
      </c>
      <c r="J264" s="113">
        <v>2100205042817</v>
      </c>
      <c r="K264" s="113">
        <v>2100205042817</v>
      </c>
      <c r="L264">
        <v>2</v>
      </c>
      <c r="M264">
        <v>34</v>
      </c>
      <c r="N264" t="s">
        <v>1863</v>
      </c>
      <c r="P264" s="112">
        <f t="shared" si="4"/>
        <v>2.9411764705882355</v>
      </c>
    </row>
    <row r="265" spans="1:16">
      <c r="A265">
        <v>300231</v>
      </c>
      <c r="B265" t="s">
        <v>1850</v>
      </c>
      <c r="C265" t="s">
        <v>2425</v>
      </c>
      <c r="D265" t="s">
        <v>1889</v>
      </c>
      <c r="E265" t="s">
        <v>2426</v>
      </c>
      <c r="F265" t="s">
        <v>1837</v>
      </c>
      <c r="G265" s="112">
        <v>100</v>
      </c>
      <c r="H265" s="112">
        <v>101</v>
      </c>
      <c r="I265">
        <v>20504298</v>
      </c>
      <c r="J265" s="113">
        <v>2100205042985</v>
      </c>
      <c r="K265" s="113">
        <v>2100205042985</v>
      </c>
      <c r="L265">
        <v>1</v>
      </c>
      <c r="M265">
        <v>20</v>
      </c>
      <c r="N265" t="s">
        <v>1863</v>
      </c>
      <c r="P265" s="112">
        <f t="shared" si="4"/>
        <v>5</v>
      </c>
    </row>
    <row r="266" spans="1:16">
      <c r="A266">
        <v>300232</v>
      </c>
      <c r="B266" t="s">
        <v>1850</v>
      </c>
      <c r="C266" t="s">
        <v>2425</v>
      </c>
      <c r="D266" t="s">
        <v>1890</v>
      </c>
      <c r="E266" t="s">
        <v>2427</v>
      </c>
      <c r="F266" t="s">
        <v>1837</v>
      </c>
      <c r="G266" s="112">
        <v>100</v>
      </c>
      <c r="H266" s="112">
        <v>101</v>
      </c>
      <c r="I266">
        <v>20504304</v>
      </c>
      <c r="J266" s="113">
        <v>2100205043043</v>
      </c>
      <c r="K266" s="113">
        <v>2100205043043</v>
      </c>
      <c r="L266">
        <v>1</v>
      </c>
      <c r="M266">
        <v>33</v>
      </c>
      <c r="N266" t="s">
        <v>1863</v>
      </c>
      <c r="P266" s="112">
        <f t="shared" si="4"/>
        <v>3.0303030303030303</v>
      </c>
    </row>
    <row r="267" spans="1:16">
      <c r="A267">
        <v>300233</v>
      </c>
      <c r="B267" t="s">
        <v>1850</v>
      </c>
      <c r="C267" t="s">
        <v>2425</v>
      </c>
      <c r="D267" t="s">
        <v>1891</v>
      </c>
      <c r="E267" t="s">
        <v>1987</v>
      </c>
      <c r="F267" t="s">
        <v>1837</v>
      </c>
      <c r="G267" s="112">
        <v>100</v>
      </c>
      <c r="H267" s="112">
        <v>101</v>
      </c>
      <c r="I267">
        <v>20504311</v>
      </c>
      <c r="J267" s="113">
        <v>2100205043111</v>
      </c>
      <c r="K267" s="113">
        <v>2100205043111</v>
      </c>
      <c r="L267">
        <v>40</v>
      </c>
      <c r="M267">
        <v>13</v>
      </c>
      <c r="N267" t="s">
        <v>1863</v>
      </c>
      <c r="P267" s="112">
        <f t="shared" si="4"/>
        <v>7.6923076923076925</v>
      </c>
    </row>
    <row r="268" spans="1:16">
      <c r="A268">
        <v>300234</v>
      </c>
      <c r="B268" t="s">
        <v>1850</v>
      </c>
      <c r="C268" t="s">
        <v>2425</v>
      </c>
      <c r="D268" t="s">
        <v>1892</v>
      </c>
      <c r="E268" t="s">
        <v>2018</v>
      </c>
      <c r="F268" t="s">
        <v>1837</v>
      </c>
      <c r="G268" s="112">
        <v>100</v>
      </c>
      <c r="H268" s="112">
        <v>101</v>
      </c>
      <c r="I268">
        <v>20504328</v>
      </c>
      <c r="J268" s="113">
        <v>2100205043289</v>
      </c>
      <c r="K268" s="113">
        <v>2100205043289</v>
      </c>
      <c r="L268">
        <v>30</v>
      </c>
      <c r="M268">
        <v>16</v>
      </c>
      <c r="N268" t="s">
        <v>1863</v>
      </c>
      <c r="P268" s="112">
        <f t="shared" si="4"/>
        <v>6.25</v>
      </c>
    </row>
    <row r="269" spans="1:16">
      <c r="A269">
        <v>300235</v>
      </c>
      <c r="B269" t="s">
        <v>1850</v>
      </c>
      <c r="C269" t="s">
        <v>2425</v>
      </c>
      <c r="D269" t="s">
        <v>1893</v>
      </c>
      <c r="E269" t="s">
        <v>2004</v>
      </c>
      <c r="F269" t="s">
        <v>1837</v>
      </c>
      <c r="G269" s="112">
        <v>100</v>
      </c>
      <c r="H269" s="112">
        <v>101</v>
      </c>
      <c r="I269">
        <v>20504335</v>
      </c>
      <c r="J269" s="113">
        <v>2100205043357</v>
      </c>
      <c r="K269" s="113">
        <v>2100205043357</v>
      </c>
      <c r="L269">
        <v>20</v>
      </c>
      <c r="M269">
        <v>0.09</v>
      </c>
      <c r="N269" t="s">
        <v>1863</v>
      </c>
    </row>
    <row r="270" spans="1:16">
      <c r="A270">
        <v>300236</v>
      </c>
      <c r="B270" t="s">
        <v>1850</v>
      </c>
      <c r="C270" t="s">
        <v>2425</v>
      </c>
      <c r="D270" t="s">
        <v>1894</v>
      </c>
      <c r="E270" t="s">
        <v>2005</v>
      </c>
      <c r="F270" t="s">
        <v>1837</v>
      </c>
      <c r="G270" s="112">
        <v>100</v>
      </c>
      <c r="H270" s="112">
        <v>101</v>
      </c>
      <c r="I270">
        <v>20504342</v>
      </c>
      <c r="J270" s="113">
        <v>2100205043425</v>
      </c>
      <c r="K270" s="113">
        <v>2100205043425</v>
      </c>
      <c r="L270">
        <v>45</v>
      </c>
      <c r="M270">
        <v>14</v>
      </c>
      <c r="N270" t="s">
        <v>1863</v>
      </c>
    </row>
    <row r="271" spans="1:16">
      <c r="A271">
        <v>300237</v>
      </c>
      <c r="B271" t="s">
        <v>1850</v>
      </c>
      <c r="C271" t="s">
        <v>2425</v>
      </c>
      <c r="D271" t="s">
        <v>1895</v>
      </c>
      <c r="E271" t="s">
        <v>2028</v>
      </c>
      <c r="F271" t="s">
        <v>1837</v>
      </c>
      <c r="G271" s="112">
        <v>100</v>
      </c>
      <c r="H271" s="112">
        <v>101</v>
      </c>
      <c r="I271">
        <v>20504359</v>
      </c>
      <c r="J271" s="113">
        <v>2100205043593</v>
      </c>
      <c r="K271" s="113">
        <v>2100205043593</v>
      </c>
      <c r="L271">
        <v>36</v>
      </c>
      <c r="M271">
        <v>17</v>
      </c>
      <c r="N271" t="s">
        <v>1863</v>
      </c>
    </row>
    <row r="272" spans="1:16">
      <c r="A272">
        <v>300238</v>
      </c>
      <c r="B272" t="s">
        <v>1850</v>
      </c>
      <c r="C272" t="s">
        <v>2425</v>
      </c>
      <c r="D272" t="s">
        <v>1896</v>
      </c>
      <c r="E272" t="s">
        <v>2025</v>
      </c>
      <c r="F272" t="s">
        <v>1837</v>
      </c>
      <c r="G272" s="112">
        <v>100</v>
      </c>
      <c r="H272" s="112">
        <v>101</v>
      </c>
      <c r="I272">
        <v>20504366</v>
      </c>
      <c r="J272" s="113">
        <v>2100205043661</v>
      </c>
      <c r="K272" s="113">
        <v>2100205043661</v>
      </c>
      <c r="L272">
        <v>27</v>
      </c>
      <c r="M272">
        <v>21</v>
      </c>
      <c r="N272" t="s">
        <v>1863</v>
      </c>
    </row>
    <row r="273" spans="1:14">
      <c r="A273">
        <v>300239</v>
      </c>
      <c r="B273" t="s">
        <v>1850</v>
      </c>
      <c r="C273" t="s">
        <v>2425</v>
      </c>
      <c r="D273" t="s">
        <v>1897</v>
      </c>
      <c r="E273" t="s">
        <v>2428</v>
      </c>
      <c r="F273" t="s">
        <v>1837</v>
      </c>
      <c r="G273" s="112">
        <v>100</v>
      </c>
      <c r="H273" s="112">
        <v>101</v>
      </c>
      <c r="I273">
        <v>20504373</v>
      </c>
      <c r="J273" s="113">
        <v>2100205043739</v>
      </c>
      <c r="K273" s="113">
        <v>2100205043739</v>
      </c>
      <c r="L273">
        <v>32</v>
      </c>
      <c r="M273">
        <v>20</v>
      </c>
      <c r="N273" t="s">
        <v>1863</v>
      </c>
    </row>
    <row r="274" spans="1:14">
      <c r="A274">
        <v>300240</v>
      </c>
      <c r="B274" t="s">
        <v>1850</v>
      </c>
      <c r="C274" t="s">
        <v>2425</v>
      </c>
      <c r="D274" t="s">
        <v>1898</v>
      </c>
      <c r="E274" t="s">
        <v>2014</v>
      </c>
      <c r="F274" t="s">
        <v>1837</v>
      </c>
      <c r="G274" s="112">
        <v>100</v>
      </c>
      <c r="H274" s="112">
        <v>101</v>
      </c>
      <c r="I274">
        <v>20504380</v>
      </c>
      <c r="J274" s="113">
        <v>2100205043807</v>
      </c>
      <c r="K274" s="113">
        <v>2100205043807</v>
      </c>
      <c r="L274">
        <v>30</v>
      </c>
      <c r="M274">
        <v>23</v>
      </c>
      <c r="N274" t="s">
        <v>1863</v>
      </c>
    </row>
    <row r="275" spans="1:14">
      <c r="A275">
        <v>300241</v>
      </c>
      <c r="B275" t="s">
        <v>1850</v>
      </c>
      <c r="C275" t="s">
        <v>2425</v>
      </c>
      <c r="D275" t="s">
        <v>1899</v>
      </c>
      <c r="E275" t="s">
        <v>2070</v>
      </c>
      <c r="F275" t="s">
        <v>1837</v>
      </c>
      <c r="G275" s="112">
        <v>100</v>
      </c>
      <c r="H275" s="112">
        <v>101</v>
      </c>
      <c r="I275">
        <v>20504397</v>
      </c>
      <c r="J275" s="113">
        <v>2100205043975</v>
      </c>
      <c r="K275" s="113">
        <v>2100205043975</v>
      </c>
      <c r="L275">
        <v>80</v>
      </c>
      <c r="M275">
        <v>7</v>
      </c>
      <c r="N275" t="s">
        <v>1863</v>
      </c>
    </row>
    <row r="276" spans="1:14">
      <c r="A276">
        <v>300242</v>
      </c>
      <c r="B276" t="s">
        <v>1850</v>
      </c>
      <c r="C276" t="s">
        <v>2425</v>
      </c>
      <c r="D276" t="s">
        <v>1900</v>
      </c>
      <c r="E276" t="s">
        <v>2006</v>
      </c>
      <c r="F276" t="s">
        <v>1837</v>
      </c>
      <c r="G276" s="112">
        <v>100</v>
      </c>
      <c r="H276" s="112">
        <v>101</v>
      </c>
      <c r="I276">
        <v>20504403</v>
      </c>
      <c r="J276" s="113">
        <v>2100205044033</v>
      </c>
      <c r="K276" s="113">
        <v>2100205044033</v>
      </c>
      <c r="L276">
        <v>48</v>
      </c>
      <c r="M276">
        <v>12</v>
      </c>
      <c r="N276" t="s">
        <v>1863</v>
      </c>
    </row>
    <row r="277" spans="1:14">
      <c r="A277">
        <v>300243</v>
      </c>
      <c r="B277" t="s">
        <v>1850</v>
      </c>
      <c r="C277" t="s">
        <v>2425</v>
      </c>
      <c r="D277" t="s">
        <v>1901</v>
      </c>
      <c r="E277" t="s">
        <v>1999</v>
      </c>
      <c r="F277" t="s">
        <v>1837</v>
      </c>
      <c r="G277" s="112">
        <v>100</v>
      </c>
      <c r="H277" s="112">
        <v>101</v>
      </c>
      <c r="I277">
        <v>20504410</v>
      </c>
      <c r="J277" s="113">
        <v>2100205044101</v>
      </c>
      <c r="K277" s="113">
        <v>2100205044101</v>
      </c>
      <c r="L277">
        <v>24</v>
      </c>
      <c r="M277">
        <v>25</v>
      </c>
      <c r="N277" t="s">
        <v>1863</v>
      </c>
    </row>
    <row r="278" spans="1:14">
      <c r="A278">
        <v>300244</v>
      </c>
      <c r="B278" t="s">
        <v>1850</v>
      </c>
      <c r="C278" t="s">
        <v>2425</v>
      </c>
      <c r="D278" t="s">
        <v>1902</v>
      </c>
      <c r="E278" t="s">
        <v>2429</v>
      </c>
      <c r="F278" t="s">
        <v>1837</v>
      </c>
      <c r="G278" s="112">
        <v>100</v>
      </c>
      <c r="H278" s="112">
        <v>101</v>
      </c>
      <c r="I278">
        <v>20504427</v>
      </c>
      <c r="J278" s="113">
        <v>2100205044279</v>
      </c>
      <c r="K278" s="113">
        <v>2100205044279</v>
      </c>
      <c r="L278">
        <v>48</v>
      </c>
      <c r="M278">
        <v>8</v>
      </c>
      <c r="N278" t="s">
        <v>1863</v>
      </c>
    </row>
    <row r="279" spans="1:14">
      <c r="A279">
        <v>300245</v>
      </c>
      <c r="B279" t="s">
        <v>1850</v>
      </c>
      <c r="C279" t="s">
        <v>2425</v>
      </c>
      <c r="D279" t="s">
        <v>1903</v>
      </c>
      <c r="E279" t="s">
        <v>2430</v>
      </c>
      <c r="F279" t="s">
        <v>1837</v>
      </c>
      <c r="G279" s="112">
        <v>100</v>
      </c>
      <c r="H279" s="112">
        <v>101</v>
      </c>
      <c r="I279">
        <v>20504434</v>
      </c>
      <c r="J279" s="113">
        <v>2100205044347</v>
      </c>
      <c r="K279" s="113">
        <v>2100205044347</v>
      </c>
      <c r="L279">
        <v>32</v>
      </c>
      <c r="M279">
        <v>13</v>
      </c>
      <c r="N279" t="s">
        <v>1863</v>
      </c>
    </row>
    <row r="280" spans="1:14">
      <c r="A280">
        <v>300246</v>
      </c>
      <c r="B280" t="s">
        <v>1850</v>
      </c>
      <c r="C280" t="s">
        <v>2425</v>
      </c>
      <c r="D280" t="s">
        <v>1904</v>
      </c>
      <c r="E280" t="s">
        <v>2067</v>
      </c>
      <c r="F280" t="s">
        <v>1837</v>
      </c>
      <c r="G280" s="112">
        <v>100</v>
      </c>
      <c r="H280" s="112">
        <v>101</v>
      </c>
      <c r="I280">
        <v>20504441</v>
      </c>
      <c r="J280" s="113">
        <v>2100205044415</v>
      </c>
      <c r="K280" s="113">
        <v>2100205044415</v>
      </c>
      <c r="L280">
        <v>128</v>
      </c>
      <c r="M280">
        <v>3</v>
      </c>
      <c r="N280" t="s">
        <v>1863</v>
      </c>
    </row>
    <row r="281" spans="1:14">
      <c r="A281">
        <v>300247</v>
      </c>
      <c r="B281" t="s">
        <v>1850</v>
      </c>
      <c r="C281" t="s">
        <v>2425</v>
      </c>
      <c r="D281" t="s">
        <v>1905</v>
      </c>
      <c r="E281" t="s">
        <v>2000</v>
      </c>
      <c r="F281" t="s">
        <v>1837</v>
      </c>
      <c r="G281" s="112">
        <v>100</v>
      </c>
      <c r="H281" s="112">
        <v>101</v>
      </c>
      <c r="I281">
        <v>20504458</v>
      </c>
      <c r="J281" s="113">
        <v>2100205044583</v>
      </c>
      <c r="K281" s="113">
        <v>2100205044583</v>
      </c>
      <c r="L281">
        <v>64</v>
      </c>
      <c r="M281">
        <v>6</v>
      </c>
      <c r="N281" t="s">
        <v>1863</v>
      </c>
    </row>
    <row r="282" spans="1:14">
      <c r="A282">
        <v>300248</v>
      </c>
      <c r="B282" t="s">
        <v>1850</v>
      </c>
      <c r="C282" t="s">
        <v>2425</v>
      </c>
      <c r="D282" t="s">
        <v>1906</v>
      </c>
      <c r="E282" t="s">
        <v>1996</v>
      </c>
      <c r="F282" t="s">
        <v>1837</v>
      </c>
      <c r="G282" s="112">
        <v>100</v>
      </c>
      <c r="H282" s="112">
        <v>101</v>
      </c>
      <c r="I282">
        <v>20504465</v>
      </c>
      <c r="J282" s="113">
        <v>2100205044651</v>
      </c>
      <c r="K282" s="113">
        <v>2100205044651</v>
      </c>
      <c r="L282">
        <v>48</v>
      </c>
      <c r="M282">
        <v>8</v>
      </c>
      <c r="N282" t="s">
        <v>1863</v>
      </c>
    </row>
    <row r="283" spans="1:14">
      <c r="A283">
        <v>300249</v>
      </c>
      <c r="B283" t="s">
        <v>1850</v>
      </c>
      <c r="C283" t="s">
        <v>2425</v>
      </c>
      <c r="D283" t="s">
        <v>1907</v>
      </c>
      <c r="E283" t="s">
        <v>2003</v>
      </c>
      <c r="F283" t="s">
        <v>1837</v>
      </c>
      <c r="G283" s="112">
        <v>100</v>
      </c>
      <c r="H283" s="112">
        <v>101</v>
      </c>
      <c r="I283">
        <v>20504502</v>
      </c>
      <c r="J283" s="113">
        <v>2100205044729</v>
      </c>
      <c r="K283" s="113">
        <v>2100205044729</v>
      </c>
      <c r="L283">
        <v>64</v>
      </c>
      <c r="M283">
        <v>7</v>
      </c>
      <c r="N283" t="s">
        <v>1863</v>
      </c>
    </row>
    <row r="284" spans="1:14">
      <c r="A284">
        <v>300250</v>
      </c>
      <c r="B284" t="s">
        <v>1850</v>
      </c>
      <c r="C284" t="s">
        <v>2425</v>
      </c>
      <c r="D284" t="s">
        <v>1908</v>
      </c>
      <c r="E284" t="s">
        <v>2022</v>
      </c>
      <c r="F284" t="s">
        <v>1837</v>
      </c>
      <c r="G284" s="112">
        <v>100</v>
      </c>
      <c r="H284" s="112">
        <v>101</v>
      </c>
      <c r="I284">
        <v>20504472</v>
      </c>
      <c r="J284" s="113">
        <v>2100205044897</v>
      </c>
      <c r="K284" s="113">
        <v>2100205044897</v>
      </c>
      <c r="L284">
        <v>48</v>
      </c>
      <c r="M284">
        <v>9</v>
      </c>
      <c r="N284" t="s">
        <v>1863</v>
      </c>
    </row>
    <row r="285" spans="1:14">
      <c r="A285">
        <v>300251</v>
      </c>
      <c r="B285" t="s">
        <v>1850</v>
      </c>
      <c r="C285" t="s">
        <v>2425</v>
      </c>
      <c r="D285" t="s">
        <v>1909</v>
      </c>
      <c r="E285" t="s">
        <v>2010</v>
      </c>
      <c r="F285" t="s">
        <v>1837</v>
      </c>
      <c r="G285" s="112">
        <v>100</v>
      </c>
      <c r="H285" s="112">
        <v>101</v>
      </c>
      <c r="I285">
        <v>20504489</v>
      </c>
      <c r="J285" s="113">
        <v>2100205044965</v>
      </c>
      <c r="K285" s="113">
        <v>2100205044965</v>
      </c>
      <c r="L285">
        <v>48</v>
      </c>
      <c r="M285">
        <v>10</v>
      </c>
      <c r="N285" t="s">
        <v>1863</v>
      </c>
    </row>
    <row r="286" spans="1:14">
      <c r="A286">
        <v>300252</v>
      </c>
      <c r="B286" t="s">
        <v>1850</v>
      </c>
      <c r="C286" t="s">
        <v>2425</v>
      </c>
      <c r="D286" t="s">
        <v>1910</v>
      </c>
      <c r="E286" t="s">
        <v>2019</v>
      </c>
      <c r="F286" t="s">
        <v>1837</v>
      </c>
      <c r="G286" s="112">
        <v>100</v>
      </c>
      <c r="H286" s="112">
        <v>101</v>
      </c>
      <c r="I286">
        <v>20504496</v>
      </c>
      <c r="J286" s="113">
        <v>2100205045023</v>
      </c>
      <c r="K286" s="113">
        <v>2100205045023</v>
      </c>
      <c r="L286">
        <v>18</v>
      </c>
      <c r="M286">
        <v>16</v>
      </c>
      <c r="N286" t="s">
        <v>1863</v>
      </c>
    </row>
    <row r="287" spans="1:14">
      <c r="A287">
        <v>300253</v>
      </c>
      <c r="B287" t="s">
        <v>1850</v>
      </c>
      <c r="C287" t="s">
        <v>2425</v>
      </c>
      <c r="D287" t="s">
        <v>1911</v>
      </c>
      <c r="E287" t="s">
        <v>2023</v>
      </c>
      <c r="F287" t="s">
        <v>1837</v>
      </c>
      <c r="G287" s="112">
        <v>100</v>
      </c>
      <c r="H287" s="112">
        <v>101</v>
      </c>
      <c r="I287">
        <v>20504519</v>
      </c>
      <c r="J287" s="113">
        <v>2100205045191</v>
      </c>
      <c r="K287" s="113">
        <v>2100205045191</v>
      </c>
      <c r="L287">
        <v>18</v>
      </c>
      <c r="M287">
        <v>18</v>
      </c>
      <c r="N287" t="s">
        <v>1863</v>
      </c>
    </row>
    <row r="288" spans="1:14">
      <c r="A288">
        <v>300254</v>
      </c>
      <c r="B288" t="s">
        <v>1850</v>
      </c>
      <c r="C288" t="s">
        <v>2425</v>
      </c>
      <c r="D288" t="s">
        <v>1912</v>
      </c>
      <c r="E288" t="s">
        <v>2057</v>
      </c>
      <c r="F288" t="s">
        <v>1837</v>
      </c>
      <c r="G288" s="112">
        <v>100</v>
      </c>
      <c r="H288" s="112">
        <v>101</v>
      </c>
      <c r="I288">
        <v>20504526</v>
      </c>
      <c r="J288" s="113">
        <v>2100205045269</v>
      </c>
      <c r="K288" s="113">
        <v>2100205045269</v>
      </c>
      <c r="L288">
        <v>18</v>
      </c>
      <c r="M288">
        <v>26</v>
      </c>
      <c r="N288" t="s">
        <v>1863</v>
      </c>
    </row>
    <row r="289" spans="1:14">
      <c r="A289">
        <v>300255</v>
      </c>
      <c r="B289" t="s">
        <v>1850</v>
      </c>
      <c r="C289" t="s">
        <v>2425</v>
      </c>
      <c r="D289" t="s">
        <v>1913</v>
      </c>
      <c r="E289" t="s">
        <v>2007</v>
      </c>
      <c r="F289" t="s">
        <v>1837</v>
      </c>
      <c r="G289" s="112">
        <v>100</v>
      </c>
      <c r="H289" s="112">
        <v>101</v>
      </c>
      <c r="I289">
        <v>20504533</v>
      </c>
      <c r="J289" s="113">
        <v>2100205045337</v>
      </c>
      <c r="K289" s="113">
        <v>2100205045337</v>
      </c>
      <c r="L289">
        <v>48</v>
      </c>
      <c r="M289">
        <v>12</v>
      </c>
      <c r="N289" t="s">
        <v>1863</v>
      </c>
    </row>
    <row r="290" spans="1:14">
      <c r="A290">
        <v>300256</v>
      </c>
      <c r="B290" t="s">
        <v>1850</v>
      </c>
      <c r="C290" t="s">
        <v>2425</v>
      </c>
      <c r="D290" t="s">
        <v>1914</v>
      </c>
      <c r="E290" t="s">
        <v>2068</v>
      </c>
      <c r="F290" t="s">
        <v>1837</v>
      </c>
      <c r="G290" s="112">
        <v>100</v>
      </c>
      <c r="H290" s="112">
        <v>101</v>
      </c>
      <c r="I290">
        <v>20504540</v>
      </c>
      <c r="J290" s="113">
        <v>2100205045405</v>
      </c>
      <c r="K290" s="113">
        <v>2100205045405</v>
      </c>
      <c r="L290">
        <v>32</v>
      </c>
      <c r="M290">
        <v>17</v>
      </c>
      <c r="N290" t="s">
        <v>1863</v>
      </c>
    </row>
    <row r="291" spans="1:14">
      <c r="A291">
        <v>300257</v>
      </c>
      <c r="B291" t="s">
        <v>1850</v>
      </c>
      <c r="C291" t="s">
        <v>2425</v>
      </c>
      <c r="D291" t="s">
        <v>1915</v>
      </c>
      <c r="E291" t="s">
        <v>2431</v>
      </c>
      <c r="F291" t="s">
        <v>1837</v>
      </c>
      <c r="G291" s="112">
        <v>100</v>
      </c>
      <c r="H291" s="112">
        <v>101</v>
      </c>
      <c r="I291">
        <v>20504557</v>
      </c>
      <c r="J291" s="113">
        <v>2100205045573</v>
      </c>
      <c r="K291" s="113">
        <v>2100205045573</v>
      </c>
      <c r="L291">
        <v>32</v>
      </c>
      <c r="M291">
        <v>20</v>
      </c>
      <c r="N291" t="s">
        <v>1863</v>
      </c>
    </row>
    <row r="292" spans="1:14">
      <c r="A292">
        <v>300258</v>
      </c>
      <c r="B292" t="s">
        <v>1850</v>
      </c>
      <c r="C292" t="s">
        <v>2425</v>
      </c>
      <c r="D292" t="s">
        <v>1846</v>
      </c>
      <c r="E292" t="s">
        <v>2008</v>
      </c>
      <c r="F292" t="s">
        <v>1837</v>
      </c>
      <c r="G292" s="112">
        <v>100</v>
      </c>
      <c r="H292" s="112">
        <v>101</v>
      </c>
      <c r="I292">
        <v>20504564</v>
      </c>
      <c r="J292" s="113">
        <v>2100205045641</v>
      </c>
      <c r="K292" s="113">
        <v>2100205045641</v>
      </c>
      <c r="L292">
        <v>15</v>
      </c>
      <c r="M292">
        <v>28</v>
      </c>
      <c r="N292" t="s">
        <v>1863</v>
      </c>
    </row>
    <row r="293" spans="1:14">
      <c r="A293">
        <v>300259</v>
      </c>
      <c r="B293" t="s">
        <v>1850</v>
      </c>
      <c r="C293" t="s">
        <v>2425</v>
      </c>
      <c r="D293" t="s">
        <v>1916</v>
      </c>
      <c r="E293" t="s">
        <v>2056</v>
      </c>
      <c r="F293" t="s">
        <v>1837</v>
      </c>
      <c r="G293" s="112">
        <v>100</v>
      </c>
      <c r="H293" s="112">
        <v>101</v>
      </c>
      <c r="I293">
        <v>20504571</v>
      </c>
      <c r="J293" s="113">
        <v>2100205045719</v>
      </c>
      <c r="K293" s="113">
        <v>2100205045719</v>
      </c>
      <c r="L293">
        <v>18</v>
      </c>
      <c r="M293">
        <v>12</v>
      </c>
      <c r="N293" t="s">
        <v>1863</v>
      </c>
    </row>
    <row r="294" spans="1:14">
      <c r="A294">
        <v>300260</v>
      </c>
      <c r="B294" t="s">
        <v>1850</v>
      </c>
      <c r="C294" t="s">
        <v>2425</v>
      </c>
      <c r="D294" t="s">
        <v>1917</v>
      </c>
      <c r="E294" t="s">
        <v>2052</v>
      </c>
      <c r="F294" t="s">
        <v>1837</v>
      </c>
      <c r="G294" s="112">
        <v>100</v>
      </c>
      <c r="H294" s="112">
        <v>101</v>
      </c>
      <c r="I294">
        <v>20504588</v>
      </c>
      <c r="J294" s="113">
        <v>2100205045887</v>
      </c>
      <c r="K294" s="113">
        <v>2100205045887</v>
      </c>
      <c r="L294">
        <v>30</v>
      </c>
      <c r="M294">
        <v>13</v>
      </c>
      <c r="N294" t="s">
        <v>1863</v>
      </c>
    </row>
    <row r="295" spans="1:14">
      <c r="A295">
        <v>300261</v>
      </c>
      <c r="B295" t="s">
        <v>1850</v>
      </c>
      <c r="C295" t="s">
        <v>2425</v>
      </c>
      <c r="D295" t="s">
        <v>1918</v>
      </c>
      <c r="E295" t="s">
        <v>2032</v>
      </c>
      <c r="F295" t="s">
        <v>1837</v>
      </c>
      <c r="G295" s="112">
        <v>100</v>
      </c>
      <c r="H295" s="112">
        <v>101</v>
      </c>
      <c r="I295">
        <v>20504595</v>
      </c>
      <c r="J295" s="113">
        <v>2100205045955</v>
      </c>
      <c r="K295" s="113">
        <v>2100205045955</v>
      </c>
      <c r="L295">
        <v>18</v>
      </c>
      <c r="M295">
        <v>32</v>
      </c>
      <c r="N295" t="s">
        <v>1863</v>
      </c>
    </row>
    <row r="296" spans="1:14">
      <c r="A296">
        <v>300262</v>
      </c>
      <c r="B296" t="s">
        <v>1850</v>
      </c>
      <c r="C296" t="s">
        <v>2425</v>
      </c>
      <c r="D296" t="s">
        <v>1919</v>
      </c>
      <c r="E296" t="s">
        <v>2069</v>
      </c>
      <c r="F296" t="s">
        <v>1837</v>
      </c>
      <c r="G296" s="112">
        <v>100</v>
      </c>
      <c r="H296" s="112">
        <v>101</v>
      </c>
      <c r="I296">
        <v>20504601</v>
      </c>
      <c r="J296" s="113">
        <v>2100205046013</v>
      </c>
      <c r="K296" s="113">
        <v>2100205046013</v>
      </c>
      <c r="L296">
        <v>40</v>
      </c>
      <c r="M296">
        <v>8</v>
      </c>
      <c r="N296" t="s">
        <v>1863</v>
      </c>
    </row>
    <row r="297" spans="1:14">
      <c r="A297">
        <v>300263</v>
      </c>
      <c r="B297" t="s">
        <v>1850</v>
      </c>
      <c r="C297" t="s">
        <v>2425</v>
      </c>
      <c r="D297" t="s">
        <v>1920</v>
      </c>
      <c r="E297" t="s">
        <v>2048</v>
      </c>
      <c r="F297" t="s">
        <v>1837</v>
      </c>
      <c r="G297" s="112">
        <v>100</v>
      </c>
      <c r="H297" s="112">
        <v>101</v>
      </c>
      <c r="I297">
        <v>20504618</v>
      </c>
      <c r="J297" s="113">
        <v>2100205046181</v>
      </c>
      <c r="K297" s="113">
        <v>2100205046181</v>
      </c>
      <c r="L297">
        <v>27</v>
      </c>
      <c r="M297">
        <v>12</v>
      </c>
      <c r="N297" t="s">
        <v>1863</v>
      </c>
    </row>
    <row r="298" spans="1:14">
      <c r="A298">
        <v>300264</v>
      </c>
      <c r="B298" t="s">
        <v>1850</v>
      </c>
      <c r="C298" t="s">
        <v>2425</v>
      </c>
      <c r="D298" t="s">
        <v>1921</v>
      </c>
      <c r="E298" t="s">
        <v>2054</v>
      </c>
      <c r="F298" t="s">
        <v>1837</v>
      </c>
      <c r="G298" s="112">
        <v>100</v>
      </c>
      <c r="H298" s="112">
        <v>101</v>
      </c>
      <c r="I298">
        <v>20504625</v>
      </c>
      <c r="J298" s="113">
        <v>2100205046259</v>
      </c>
      <c r="K298" s="113">
        <v>2100205046259</v>
      </c>
      <c r="L298">
        <v>24</v>
      </c>
      <c r="M298">
        <v>12</v>
      </c>
      <c r="N298" t="s">
        <v>1863</v>
      </c>
    </row>
    <row r="299" spans="1:14">
      <c r="A299">
        <v>300265</v>
      </c>
      <c r="B299" t="s">
        <v>1850</v>
      </c>
      <c r="C299" t="s">
        <v>2425</v>
      </c>
      <c r="D299" t="s">
        <v>1922</v>
      </c>
      <c r="E299" t="s">
        <v>2001</v>
      </c>
      <c r="F299" t="s">
        <v>1837</v>
      </c>
      <c r="G299" s="112">
        <v>100</v>
      </c>
      <c r="H299" s="112">
        <v>101</v>
      </c>
      <c r="I299">
        <v>20504632</v>
      </c>
      <c r="J299" s="113">
        <v>2100205046327</v>
      </c>
      <c r="K299" s="113">
        <v>2100205046327</v>
      </c>
      <c r="L299">
        <v>12</v>
      </c>
      <c r="M299">
        <v>25</v>
      </c>
      <c r="N299" t="s">
        <v>1863</v>
      </c>
    </row>
    <row r="300" spans="1:14">
      <c r="A300">
        <v>300266</v>
      </c>
      <c r="B300" t="s">
        <v>1850</v>
      </c>
      <c r="C300" t="s">
        <v>2425</v>
      </c>
      <c r="D300" t="s">
        <v>1923</v>
      </c>
      <c r="E300" t="s">
        <v>2058</v>
      </c>
      <c r="F300" t="s">
        <v>1837</v>
      </c>
      <c r="G300" s="112">
        <v>100</v>
      </c>
      <c r="H300" s="112">
        <v>101</v>
      </c>
      <c r="I300">
        <v>20504649</v>
      </c>
      <c r="J300" s="113">
        <v>2100205046495</v>
      </c>
      <c r="K300" s="113">
        <v>2100205046495</v>
      </c>
      <c r="L300">
        <v>10</v>
      </c>
      <c r="M300">
        <v>5</v>
      </c>
      <c r="N300" t="s">
        <v>1863</v>
      </c>
    </row>
    <row r="301" spans="1:14">
      <c r="A301">
        <v>300267</v>
      </c>
      <c r="B301" t="s">
        <v>1850</v>
      </c>
      <c r="C301" t="s">
        <v>2425</v>
      </c>
      <c r="D301" t="s">
        <v>1924</v>
      </c>
      <c r="E301" t="s">
        <v>2059</v>
      </c>
      <c r="F301" t="s">
        <v>1837</v>
      </c>
      <c r="G301" s="112">
        <v>100</v>
      </c>
      <c r="H301" s="112">
        <v>101</v>
      </c>
      <c r="I301">
        <v>20504656</v>
      </c>
      <c r="J301" s="113">
        <v>2100205046563</v>
      </c>
      <c r="K301" s="113">
        <v>2100205046563</v>
      </c>
      <c r="L301">
        <v>10</v>
      </c>
      <c r="M301">
        <v>8</v>
      </c>
      <c r="N301" t="s">
        <v>1863</v>
      </c>
    </row>
    <row r="302" spans="1:14">
      <c r="A302">
        <v>300268</v>
      </c>
      <c r="B302" t="s">
        <v>1850</v>
      </c>
      <c r="C302" t="s">
        <v>2425</v>
      </c>
      <c r="D302" t="s">
        <v>1925</v>
      </c>
      <c r="E302" t="s">
        <v>2061</v>
      </c>
      <c r="F302" t="s">
        <v>1837</v>
      </c>
      <c r="G302" s="112">
        <v>100</v>
      </c>
      <c r="H302" s="112">
        <v>101</v>
      </c>
      <c r="I302">
        <v>20504663</v>
      </c>
      <c r="J302" s="113">
        <v>2100205046631</v>
      </c>
      <c r="K302" s="113">
        <v>2100205046631</v>
      </c>
      <c r="L302">
        <v>2</v>
      </c>
      <c r="M302">
        <v>18</v>
      </c>
      <c r="N302" t="s">
        <v>1863</v>
      </c>
    </row>
    <row r="303" spans="1:14">
      <c r="A303">
        <v>300269</v>
      </c>
      <c r="B303" t="s">
        <v>1850</v>
      </c>
      <c r="C303" t="s">
        <v>2425</v>
      </c>
      <c r="D303" t="s">
        <v>1926</v>
      </c>
      <c r="E303" t="s">
        <v>2060</v>
      </c>
      <c r="F303" t="s">
        <v>1837</v>
      </c>
      <c r="G303" s="112">
        <v>100</v>
      </c>
      <c r="H303" s="112">
        <v>101</v>
      </c>
      <c r="I303">
        <v>20504670</v>
      </c>
      <c r="J303" s="113">
        <v>2100205046709</v>
      </c>
      <c r="K303" s="113">
        <v>2100205046709</v>
      </c>
      <c r="L303">
        <v>2</v>
      </c>
      <c r="M303">
        <v>24</v>
      </c>
      <c r="N303" t="s">
        <v>1863</v>
      </c>
    </row>
    <row r="304" spans="1:14">
      <c r="A304">
        <v>300270</v>
      </c>
      <c r="B304" t="s">
        <v>1850</v>
      </c>
      <c r="C304" t="s">
        <v>2425</v>
      </c>
      <c r="D304" t="s">
        <v>1927</v>
      </c>
      <c r="E304" t="s">
        <v>2064</v>
      </c>
      <c r="F304" t="s">
        <v>1837</v>
      </c>
      <c r="G304" s="112">
        <v>100</v>
      </c>
      <c r="H304" s="112">
        <v>101</v>
      </c>
      <c r="I304">
        <v>20504687</v>
      </c>
      <c r="J304" s="113">
        <v>2100205046877</v>
      </c>
      <c r="K304" s="113">
        <v>2100205046877</v>
      </c>
      <c r="L304">
        <v>2</v>
      </c>
      <c r="M304">
        <v>30</v>
      </c>
      <c r="N304" t="s">
        <v>1863</v>
      </c>
    </row>
    <row r="305" spans="1:14">
      <c r="A305">
        <v>300271</v>
      </c>
      <c r="B305" t="s">
        <v>1850</v>
      </c>
      <c r="C305" t="s">
        <v>2425</v>
      </c>
      <c r="D305" t="s">
        <v>1928</v>
      </c>
      <c r="E305" t="s">
        <v>2020</v>
      </c>
      <c r="F305" t="s">
        <v>1837</v>
      </c>
      <c r="G305" s="112">
        <v>100</v>
      </c>
      <c r="H305" s="112">
        <v>101</v>
      </c>
      <c r="I305">
        <v>20504694</v>
      </c>
      <c r="J305" s="113">
        <v>2100205046945</v>
      </c>
      <c r="K305" s="113">
        <v>2100205046945</v>
      </c>
      <c r="L305">
        <v>200</v>
      </c>
      <c r="M305">
        <v>0.26</v>
      </c>
      <c r="N305" t="s">
        <v>1863</v>
      </c>
    </row>
    <row r="306" spans="1:14">
      <c r="A306">
        <v>300272</v>
      </c>
      <c r="B306" t="s">
        <v>1850</v>
      </c>
      <c r="C306" t="s">
        <v>2425</v>
      </c>
      <c r="D306" t="s">
        <v>1929</v>
      </c>
      <c r="E306" t="s">
        <v>2012</v>
      </c>
      <c r="F306" t="s">
        <v>1837</v>
      </c>
      <c r="G306" s="112">
        <v>100</v>
      </c>
      <c r="H306" s="112">
        <v>101</v>
      </c>
      <c r="I306">
        <v>20504700</v>
      </c>
      <c r="J306" s="113">
        <v>2100205047003</v>
      </c>
      <c r="K306" s="113">
        <v>2100205047003</v>
      </c>
      <c r="L306">
        <v>2000</v>
      </c>
      <c r="M306">
        <v>13</v>
      </c>
      <c r="N306" t="s">
        <v>1863</v>
      </c>
    </row>
  </sheetData>
  <phoneticPr fontId="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Button 1">
              <controlPr defaultSize="0" print="0" autoFill="0" autoPict="0" macro="[0]!商品リスト取込">
                <anchor moveWithCells="1" sizeWithCells="1">
                  <from>
                    <xdr:col>17</xdr:col>
                    <xdr:colOff>76200</xdr:colOff>
                    <xdr:row>0</xdr:row>
                    <xdr:rowOff>38100</xdr:rowOff>
                  </from>
                  <to>
                    <xdr:col>18</xdr:col>
                    <xdr:colOff>390525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autoPageBreaks="0"/>
  </sheetPr>
  <dimension ref="A1:I357"/>
  <sheetViews>
    <sheetView workbookViewId="0"/>
  </sheetViews>
  <sheetFormatPr defaultColWidth="8.75" defaultRowHeight="13.5"/>
  <cols>
    <col min="1" max="1" width="5" style="110" bestFit="1" customWidth="1"/>
    <col min="2" max="2" width="27.75" style="110" bestFit="1" customWidth="1"/>
    <col min="3" max="3" width="16.25" style="110" bestFit="1" customWidth="1"/>
    <col min="4" max="4" width="13" style="110" bestFit="1" customWidth="1"/>
    <col min="5" max="5" width="9.5" style="110" bestFit="1" customWidth="1"/>
    <col min="6" max="6" width="7.5" style="110" bestFit="1" customWidth="1"/>
    <col min="7" max="7" width="64.5" style="110" bestFit="1" customWidth="1"/>
    <col min="8" max="8" width="14.625" style="111" bestFit="1" customWidth="1"/>
    <col min="9" max="9" width="14.5" style="111" bestFit="1" customWidth="1"/>
    <col min="10" max="16384" width="8.75" style="91"/>
  </cols>
  <sheetData>
    <row r="1" spans="1:9" ht="14.25" thickBot="1">
      <c r="A1" s="9" t="s">
        <v>5</v>
      </c>
      <c r="B1" s="10" t="s">
        <v>6</v>
      </c>
      <c r="C1" s="10" t="s">
        <v>1558</v>
      </c>
      <c r="D1" s="10" t="s">
        <v>7</v>
      </c>
      <c r="E1" s="10" t="s">
        <v>1204</v>
      </c>
      <c r="F1" s="10" t="s">
        <v>8</v>
      </c>
      <c r="G1" s="10" t="s">
        <v>9</v>
      </c>
      <c r="H1" s="35" t="s">
        <v>10</v>
      </c>
      <c r="I1" s="35" t="s">
        <v>2071</v>
      </c>
    </row>
    <row r="2" spans="1:9">
      <c r="A2" s="11">
        <v>89</v>
      </c>
      <c r="B2" s="12" t="s">
        <v>1118</v>
      </c>
      <c r="C2" s="12" t="s">
        <v>1536</v>
      </c>
      <c r="D2" s="36" t="s">
        <v>1837</v>
      </c>
      <c r="E2" s="36" t="s">
        <v>1119</v>
      </c>
      <c r="F2" s="36" t="s">
        <v>1060</v>
      </c>
      <c r="G2" s="12" t="s">
        <v>1120</v>
      </c>
      <c r="H2" s="37" t="s">
        <v>1121</v>
      </c>
      <c r="I2" s="92" t="s">
        <v>1122</v>
      </c>
    </row>
    <row r="3" spans="1:9">
      <c r="A3" s="13">
        <v>175</v>
      </c>
      <c r="B3" s="14" t="s">
        <v>1769</v>
      </c>
      <c r="C3" s="14" t="s">
        <v>1529</v>
      </c>
      <c r="D3" s="38" t="s">
        <v>1837</v>
      </c>
      <c r="E3" s="39" t="s">
        <v>1094</v>
      </c>
      <c r="F3" s="40" t="s">
        <v>1060</v>
      </c>
      <c r="G3" s="14" t="s">
        <v>2072</v>
      </c>
      <c r="H3" s="41" t="s">
        <v>1095</v>
      </c>
      <c r="I3" s="93" t="s">
        <v>1096</v>
      </c>
    </row>
    <row r="4" spans="1:9">
      <c r="A4" s="13">
        <v>194</v>
      </c>
      <c r="B4" s="14" t="s">
        <v>1770</v>
      </c>
      <c r="C4" s="14" t="s">
        <v>1530</v>
      </c>
      <c r="D4" s="38" t="s">
        <v>1837</v>
      </c>
      <c r="E4" s="39" t="s">
        <v>1097</v>
      </c>
      <c r="F4" s="40" t="s">
        <v>1060</v>
      </c>
      <c r="G4" s="14" t="s">
        <v>2073</v>
      </c>
      <c r="H4" s="41" t="s">
        <v>1098</v>
      </c>
      <c r="I4" s="93" t="s">
        <v>1099</v>
      </c>
    </row>
    <row r="5" spans="1:9">
      <c r="A5" s="15">
        <v>252</v>
      </c>
      <c r="B5" s="16" t="s">
        <v>1768</v>
      </c>
      <c r="C5" s="16" t="s">
        <v>1528</v>
      </c>
      <c r="D5" s="38" t="s">
        <v>1837</v>
      </c>
      <c r="E5" s="38" t="s">
        <v>1091</v>
      </c>
      <c r="F5" s="38" t="s">
        <v>1060</v>
      </c>
      <c r="G5" s="16" t="s">
        <v>2074</v>
      </c>
      <c r="H5" s="42" t="s">
        <v>1092</v>
      </c>
      <c r="I5" s="93" t="s">
        <v>1093</v>
      </c>
    </row>
    <row r="6" spans="1:9">
      <c r="A6" s="15">
        <v>88</v>
      </c>
      <c r="B6" s="16" t="s">
        <v>1148</v>
      </c>
      <c r="C6" s="16" t="s">
        <v>1544</v>
      </c>
      <c r="D6" s="38" t="s">
        <v>1837</v>
      </c>
      <c r="E6" s="38" t="s">
        <v>1149</v>
      </c>
      <c r="F6" s="38" t="s">
        <v>1124</v>
      </c>
      <c r="G6" s="16" t="s">
        <v>2075</v>
      </c>
      <c r="H6" s="42" t="s">
        <v>1150</v>
      </c>
      <c r="I6" s="93" t="s">
        <v>1151</v>
      </c>
    </row>
    <row r="7" spans="1:9">
      <c r="A7" s="15">
        <v>97</v>
      </c>
      <c r="B7" s="16" t="s">
        <v>1779</v>
      </c>
      <c r="C7" s="16" t="s">
        <v>1545</v>
      </c>
      <c r="D7" s="38" t="s">
        <v>1837</v>
      </c>
      <c r="E7" s="38" t="s">
        <v>2076</v>
      </c>
      <c r="F7" s="38" t="s">
        <v>1124</v>
      </c>
      <c r="G7" s="16" t="s">
        <v>2077</v>
      </c>
      <c r="H7" s="42" t="s">
        <v>1152</v>
      </c>
      <c r="I7" s="93" t="s">
        <v>1153</v>
      </c>
    </row>
    <row r="8" spans="1:9">
      <c r="A8" s="15">
        <v>106</v>
      </c>
      <c r="B8" s="16" t="s">
        <v>1141</v>
      </c>
      <c r="C8" s="16" t="s">
        <v>1542</v>
      </c>
      <c r="D8" s="38" t="s">
        <v>1837</v>
      </c>
      <c r="E8" s="38" t="s">
        <v>1142</v>
      </c>
      <c r="F8" s="38" t="s">
        <v>1124</v>
      </c>
      <c r="G8" s="16" t="s">
        <v>2078</v>
      </c>
      <c r="H8" s="42" t="s">
        <v>1143</v>
      </c>
      <c r="I8" s="93" t="s">
        <v>1144</v>
      </c>
    </row>
    <row r="9" spans="1:9">
      <c r="A9" s="15">
        <v>109</v>
      </c>
      <c r="B9" s="16" t="s">
        <v>1170</v>
      </c>
      <c r="C9" s="16" t="s">
        <v>1551</v>
      </c>
      <c r="D9" s="38" t="s">
        <v>1837</v>
      </c>
      <c r="E9" s="38" t="s">
        <v>1171</v>
      </c>
      <c r="F9" s="38" t="s">
        <v>1124</v>
      </c>
      <c r="G9" s="16" t="s">
        <v>1172</v>
      </c>
      <c r="H9" s="42" t="s">
        <v>1173</v>
      </c>
      <c r="I9" s="93" t="s">
        <v>1174</v>
      </c>
    </row>
    <row r="10" spans="1:9">
      <c r="A10" s="15">
        <v>126</v>
      </c>
      <c r="B10" s="16" t="s">
        <v>1154</v>
      </c>
      <c r="C10" s="16" t="s">
        <v>1546</v>
      </c>
      <c r="D10" s="38" t="s">
        <v>1837</v>
      </c>
      <c r="E10" s="38" t="s">
        <v>1155</v>
      </c>
      <c r="F10" s="38" t="s">
        <v>1124</v>
      </c>
      <c r="G10" s="16" t="s">
        <v>2079</v>
      </c>
      <c r="H10" s="42" t="s">
        <v>1156</v>
      </c>
      <c r="I10" s="93" t="s">
        <v>1157</v>
      </c>
    </row>
    <row r="11" spans="1:9">
      <c r="A11" s="15">
        <v>132</v>
      </c>
      <c r="B11" s="16" t="s">
        <v>1130</v>
      </c>
      <c r="C11" s="16" t="s">
        <v>1539</v>
      </c>
      <c r="D11" s="38" t="s">
        <v>1837</v>
      </c>
      <c r="E11" s="38" t="s">
        <v>1131</v>
      </c>
      <c r="F11" s="38" t="s">
        <v>1124</v>
      </c>
      <c r="G11" s="16" t="s">
        <v>1132</v>
      </c>
      <c r="H11" s="42" t="s">
        <v>1133</v>
      </c>
      <c r="I11" s="93" t="s">
        <v>1134</v>
      </c>
    </row>
    <row r="12" spans="1:9">
      <c r="A12" s="15">
        <v>143</v>
      </c>
      <c r="B12" s="16" t="s">
        <v>1181</v>
      </c>
      <c r="C12" s="16" t="s">
        <v>1554</v>
      </c>
      <c r="D12" s="38" t="s">
        <v>1837</v>
      </c>
      <c r="E12" s="38" t="s">
        <v>1182</v>
      </c>
      <c r="F12" s="38" t="s">
        <v>1124</v>
      </c>
      <c r="G12" s="16" t="s">
        <v>2080</v>
      </c>
      <c r="H12" s="42" t="s">
        <v>1183</v>
      </c>
      <c r="I12" s="93" t="s">
        <v>1184</v>
      </c>
    </row>
    <row r="13" spans="1:9">
      <c r="A13" s="15">
        <v>147</v>
      </c>
      <c r="B13" s="16" t="s">
        <v>1784</v>
      </c>
      <c r="C13" s="16" t="s">
        <v>1552</v>
      </c>
      <c r="D13" s="38" t="s">
        <v>1837</v>
      </c>
      <c r="E13" s="38" t="s">
        <v>1175</v>
      </c>
      <c r="F13" s="38" t="s">
        <v>1124</v>
      </c>
      <c r="G13" s="16" t="s">
        <v>2081</v>
      </c>
      <c r="H13" s="42" t="s">
        <v>1176</v>
      </c>
      <c r="I13" s="93" t="s">
        <v>1177</v>
      </c>
    </row>
    <row r="14" spans="1:9">
      <c r="A14" s="15">
        <v>163</v>
      </c>
      <c r="B14" s="16" t="s">
        <v>1775</v>
      </c>
      <c r="C14" s="16" t="s">
        <v>1538</v>
      </c>
      <c r="D14" s="38" t="s">
        <v>1837</v>
      </c>
      <c r="E14" s="38" t="s">
        <v>1127</v>
      </c>
      <c r="F14" s="38" t="s">
        <v>1124</v>
      </c>
      <c r="G14" s="16" t="s">
        <v>2082</v>
      </c>
      <c r="H14" s="43" t="s">
        <v>1128</v>
      </c>
      <c r="I14" s="93" t="s">
        <v>1129</v>
      </c>
    </row>
    <row r="15" spans="1:9">
      <c r="A15" s="15">
        <v>212</v>
      </c>
      <c r="B15" s="16" t="s">
        <v>1782</v>
      </c>
      <c r="C15" s="16" t="s">
        <v>1549</v>
      </c>
      <c r="D15" s="38" t="s">
        <v>1837</v>
      </c>
      <c r="E15" s="38" t="s">
        <v>1164</v>
      </c>
      <c r="F15" s="38" t="s">
        <v>1124</v>
      </c>
      <c r="G15" s="16" t="s">
        <v>2083</v>
      </c>
      <c r="H15" s="42" t="s">
        <v>1165</v>
      </c>
      <c r="I15" s="93" t="s">
        <v>1166</v>
      </c>
    </row>
    <row r="16" spans="1:9">
      <c r="A16" s="15">
        <v>219</v>
      </c>
      <c r="B16" s="16" t="s">
        <v>1778</v>
      </c>
      <c r="C16" s="16" t="s">
        <v>1543</v>
      </c>
      <c r="D16" s="38" t="s">
        <v>1837</v>
      </c>
      <c r="E16" s="38" t="s">
        <v>1145</v>
      </c>
      <c r="F16" s="38" t="s">
        <v>1124</v>
      </c>
      <c r="G16" s="16" t="s">
        <v>2084</v>
      </c>
      <c r="H16" s="42" t="s">
        <v>1146</v>
      </c>
      <c r="I16" s="93" t="s">
        <v>1147</v>
      </c>
    </row>
    <row r="17" spans="1:9">
      <c r="A17" s="15">
        <v>235</v>
      </c>
      <c r="B17" s="16" t="s">
        <v>1777</v>
      </c>
      <c r="C17" s="16" t="s">
        <v>1541</v>
      </c>
      <c r="D17" s="38" t="s">
        <v>1837</v>
      </c>
      <c r="E17" s="38" t="s">
        <v>1138</v>
      </c>
      <c r="F17" s="38" t="s">
        <v>1124</v>
      </c>
      <c r="G17" s="16" t="s">
        <v>2085</v>
      </c>
      <c r="H17" s="42" t="s">
        <v>1139</v>
      </c>
      <c r="I17" s="93" t="s">
        <v>1140</v>
      </c>
    </row>
    <row r="18" spans="1:9">
      <c r="A18" s="15">
        <v>241</v>
      </c>
      <c r="B18" s="16" t="s">
        <v>1781</v>
      </c>
      <c r="C18" s="16" t="s">
        <v>1548</v>
      </c>
      <c r="D18" s="38" t="s">
        <v>1837</v>
      </c>
      <c r="E18" s="38" t="s">
        <v>1161</v>
      </c>
      <c r="F18" s="38" t="s">
        <v>1124</v>
      </c>
      <c r="G18" s="16" t="s">
        <v>2086</v>
      </c>
      <c r="H18" s="42" t="s">
        <v>1162</v>
      </c>
      <c r="I18" s="93" t="s">
        <v>1163</v>
      </c>
    </row>
    <row r="19" spans="1:9">
      <c r="A19" s="15">
        <v>248</v>
      </c>
      <c r="B19" s="16" t="s">
        <v>1787</v>
      </c>
      <c r="C19" s="16" t="s">
        <v>1556</v>
      </c>
      <c r="D19" s="38" t="s">
        <v>1837</v>
      </c>
      <c r="E19" s="38" t="s">
        <v>1188</v>
      </c>
      <c r="F19" s="38" t="s">
        <v>1124</v>
      </c>
      <c r="G19" s="16" t="s">
        <v>2087</v>
      </c>
      <c r="H19" s="42" t="s">
        <v>1189</v>
      </c>
      <c r="I19" s="93" t="s">
        <v>1190</v>
      </c>
    </row>
    <row r="20" spans="1:9">
      <c r="A20" s="15">
        <v>249</v>
      </c>
      <c r="B20" s="16" t="s">
        <v>1788</v>
      </c>
      <c r="C20" s="16" t="s">
        <v>1557</v>
      </c>
      <c r="D20" s="38" t="s">
        <v>1837</v>
      </c>
      <c r="E20" s="38" t="s">
        <v>1191</v>
      </c>
      <c r="F20" s="38" t="s">
        <v>1124</v>
      </c>
      <c r="G20" s="16" t="s">
        <v>2088</v>
      </c>
      <c r="H20" s="42" t="s">
        <v>1192</v>
      </c>
      <c r="I20" s="94" t="s">
        <v>1193</v>
      </c>
    </row>
    <row r="21" spans="1:9">
      <c r="A21" s="15">
        <v>254</v>
      </c>
      <c r="B21" s="16" t="s">
        <v>1785</v>
      </c>
      <c r="C21" s="16" t="s">
        <v>1553</v>
      </c>
      <c r="D21" s="38" t="s">
        <v>1837</v>
      </c>
      <c r="E21" s="38" t="s">
        <v>1178</v>
      </c>
      <c r="F21" s="38" t="s">
        <v>1124</v>
      </c>
      <c r="G21" s="16" t="s">
        <v>2089</v>
      </c>
      <c r="H21" s="42" t="s">
        <v>1179</v>
      </c>
      <c r="I21" s="94" t="s">
        <v>1180</v>
      </c>
    </row>
    <row r="22" spans="1:9">
      <c r="A22" s="15">
        <v>265</v>
      </c>
      <c r="B22" s="16" t="s">
        <v>1776</v>
      </c>
      <c r="C22" s="16" t="s">
        <v>1540</v>
      </c>
      <c r="D22" s="38" t="s">
        <v>1837</v>
      </c>
      <c r="E22" s="38" t="s">
        <v>1135</v>
      </c>
      <c r="F22" s="38" t="s">
        <v>1124</v>
      </c>
      <c r="G22" s="16" t="s">
        <v>2090</v>
      </c>
      <c r="H22" s="42" t="s">
        <v>1136</v>
      </c>
      <c r="I22" s="93" t="s">
        <v>1137</v>
      </c>
    </row>
    <row r="23" spans="1:9">
      <c r="A23" s="15">
        <v>266</v>
      </c>
      <c r="B23" s="16" t="s">
        <v>1783</v>
      </c>
      <c r="C23" s="16" t="s">
        <v>1550</v>
      </c>
      <c r="D23" s="38" t="s">
        <v>1837</v>
      </c>
      <c r="E23" s="38" t="s">
        <v>1167</v>
      </c>
      <c r="F23" s="38" t="s">
        <v>1124</v>
      </c>
      <c r="G23" s="16" t="s">
        <v>2091</v>
      </c>
      <c r="H23" s="42" t="s">
        <v>1168</v>
      </c>
      <c r="I23" s="93" t="s">
        <v>1169</v>
      </c>
    </row>
    <row r="24" spans="1:9">
      <c r="A24" s="15">
        <v>296</v>
      </c>
      <c r="B24" s="16" t="s">
        <v>1780</v>
      </c>
      <c r="C24" s="16" t="s">
        <v>1547</v>
      </c>
      <c r="D24" s="38" t="s">
        <v>1837</v>
      </c>
      <c r="E24" s="38" t="s">
        <v>1158</v>
      </c>
      <c r="F24" s="38" t="s">
        <v>1124</v>
      </c>
      <c r="G24" s="16" t="s">
        <v>2092</v>
      </c>
      <c r="H24" s="42" t="s">
        <v>1159</v>
      </c>
      <c r="I24" s="93" t="s">
        <v>1160</v>
      </c>
    </row>
    <row r="25" spans="1:9">
      <c r="A25" s="17">
        <v>356</v>
      </c>
      <c r="B25" s="14" t="s">
        <v>1774</v>
      </c>
      <c r="C25" s="66" t="s">
        <v>1537</v>
      </c>
      <c r="D25" s="44" t="s">
        <v>1837</v>
      </c>
      <c r="E25" s="39" t="s">
        <v>1123</v>
      </c>
      <c r="F25" s="45" t="s">
        <v>1124</v>
      </c>
      <c r="G25" s="14" t="s">
        <v>2093</v>
      </c>
      <c r="H25" s="46" t="s">
        <v>1125</v>
      </c>
      <c r="I25" s="93" t="s">
        <v>1126</v>
      </c>
    </row>
    <row r="26" spans="1:9">
      <c r="A26" s="17">
        <v>365</v>
      </c>
      <c r="B26" s="14" t="s">
        <v>1786</v>
      </c>
      <c r="C26" s="66" t="s">
        <v>1555</v>
      </c>
      <c r="D26" s="45" t="s">
        <v>1837</v>
      </c>
      <c r="E26" s="39" t="s">
        <v>1185</v>
      </c>
      <c r="F26" s="45" t="s">
        <v>1124</v>
      </c>
      <c r="G26" s="14" t="s">
        <v>2094</v>
      </c>
      <c r="H26" s="46" t="s">
        <v>1186</v>
      </c>
      <c r="I26" s="93" t="s">
        <v>1187</v>
      </c>
    </row>
    <row r="27" spans="1:9">
      <c r="A27" s="15">
        <v>601</v>
      </c>
      <c r="B27" s="16" t="s">
        <v>1789</v>
      </c>
      <c r="C27" s="16"/>
      <c r="D27" s="38" t="s">
        <v>2095</v>
      </c>
      <c r="E27" s="38" t="s">
        <v>2096</v>
      </c>
      <c r="F27" s="38" t="s">
        <v>499</v>
      </c>
      <c r="G27" s="16" t="s">
        <v>1194</v>
      </c>
      <c r="H27" s="42" t="s">
        <v>1195</v>
      </c>
      <c r="I27" s="93" t="s">
        <v>1196</v>
      </c>
    </row>
    <row r="28" spans="1:9">
      <c r="A28" s="15">
        <v>611</v>
      </c>
      <c r="B28" s="16" t="s">
        <v>1790</v>
      </c>
      <c r="C28" s="16"/>
      <c r="D28" s="38" t="s">
        <v>2095</v>
      </c>
      <c r="E28" s="38" t="s">
        <v>518</v>
      </c>
      <c r="F28" s="38" t="s">
        <v>499</v>
      </c>
      <c r="G28" s="16" t="s">
        <v>2097</v>
      </c>
      <c r="H28" s="42" t="s">
        <v>2098</v>
      </c>
      <c r="I28" s="93" t="s">
        <v>2099</v>
      </c>
    </row>
    <row r="29" spans="1:9">
      <c r="A29" s="15">
        <v>333</v>
      </c>
      <c r="B29" s="16" t="s">
        <v>1581</v>
      </c>
      <c r="C29" s="16" t="s">
        <v>1245</v>
      </c>
      <c r="D29" s="38" t="s">
        <v>1798</v>
      </c>
      <c r="E29" s="38" t="s">
        <v>76</v>
      </c>
      <c r="F29" s="38" t="s">
        <v>77</v>
      </c>
      <c r="G29" s="16" t="s">
        <v>2100</v>
      </c>
      <c r="H29" s="42" t="s">
        <v>78</v>
      </c>
      <c r="I29" s="94" t="s">
        <v>79</v>
      </c>
    </row>
    <row r="30" spans="1:9">
      <c r="A30" s="15">
        <v>148</v>
      </c>
      <c r="B30" s="16" t="s">
        <v>1597</v>
      </c>
      <c r="C30" s="16" t="s">
        <v>1263</v>
      </c>
      <c r="D30" s="38" t="s">
        <v>1798</v>
      </c>
      <c r="E30" s="38" t="s">
        <v>133</v>
      </c>
      <c r="F30" s="38" t="s">
        <v>130</v>
      </c>
      <c r="G30" s="16" t="s">
        <v>2101</v>
      </c>
      <c r="H30" s="42" t="s">
        <v>134</v>
      </c>
      <c r="I30" s="93" t="s">
        <v>135</v>
      </c>
    </row>
    <row r="31" spans="1:9">
      <c r="A31" s="15">
        <v>158</v>
      </c>
      <c r="B31" s="16" t="s">
        <v>1604</v>
      </c>
      <c r="C31" s="16" t="s">
        <v>1270</v>
      </c>
      <c r="D31" s="38" t="s">
        <v>1798</v>
      </c>
      <c r="E31" s="38" t="s">
        <v>157</v>
      </c>
      <c r="F31" s="38" t="s">
        <v>130</v>
      </c>
      <c r="G31" s="16" t="s">
        <v>2102</v>
      </c>
      <c r="H31" s="47" t="s">
        <v>158</v>
      </c>
      <c r="I31" s="94" t="s">
        <v>159</v>
      </c>
    </row>
    <row r="32" spans="1:9">
      <c r="A32" s="15">
        <v>159</v>
      </c>
      <c r="B32" s="16" t="s">
        <v>1599</v>
      </c>
      <c r="C32" s="16" t="s">
        <v>1265</v>
      </c>
      <c r="D32" s="38" t="s">
        <v>1798</v>
      </c>
      <c r="E32" s="38" t="s">
        <v>139</v>
      </c>
      <c r="F32" s="38" t="s">
        <v>130</v>
      </c>
      <c r="G32" s="16" t="s">
        <v>2103</v>
      </c>
      <c r="H32" s="42" t="s">
        <v>140</v>
      </c>
      <c r="I32" s="93" t="s">
        <v>141</v>
      </c>
    </row>
    <row r="33" spans="1:9">
      <c r="A33" s="15">
        <v>181</v>
      </c>
      <c r="B33" s="16" t="s">
        <v>1606</v>
      </c>
      <c r="C33" s="16" t="s">
        <v>1272</v>
      </c>
      <c r="D33" s="38" t="s">
        <v>1798</v>
      </c>
      <c r="E33" s="38" t="s">
        <v>163</v>
      </c>
      <c r="F33" s="38" t="s">
        <v>130</v>
      </c>
      <c r="G33" s="16" t="s">
        <v>2104</v>
      </c>
      <c r="H33" s="42" t="s">
        <v>164</v>
      </c>
      <c r="I33" s="93" t="s">
        <v>165</v>
      </c>
    </row>
    <row r="34" spans="1:9">
      <c r="A34" s="15">
        <v>182</v>
      </c>
      <c r="B34" s="14" t="s">
        <v>1602</v>
      </c>
      <c r="C34" s="14" t="s">
        <v>1268</v>
      </c>
      <c r="D34" s="38" t="s">
        <v>1798</v>
      </c>
      <c r="E34" s="39" t="s">
        <v>151</v>
      </c>
      <c r="F34" s="38" t="s">
        <v>130</v>
      </c>
      <c r="G34" s="14" t="s">
        <v>2105</v>
      </c>
      <c r="H34" s="42" t="s">
        <v>152</v>
      </c>
      <c r="I34" s="93" t="s">
        <v>153</v>
      </c>
    </row>
    <row r="35" spans="1:9">
      <c r="A35" s="15">
        <v>201</v>
      </c>
      <c r="B35" s="14" t="s">
        <v>1605</v>
      </c>
      <c r="C35" s="14" t="s">
        <v>1271</v>
      </c>
      <c r="D35" s="38" t="s">
        <v>1798</v>
      </c>
      <c r="E35" s="39" t="s">
        <v>160</v>
      </c>
      <c r="F35" s="38" t="s">
        <v>130</v>
      </c>
      <c r="G35" s="14" t="s">
        <v>2106</v>
      </c>
      <c r="H35" s="42" t="s">
        <v>161</v>
      </c>
      <c r="I35" s="93" t="s">
        <v>162</v>
      </c>
    </row>
    <row r="36" spans="1:9">
      <c r="A36" s="15">
        <v>207</v>
      </c>
      <c r="B36" s="16" t="s">
        <v>1596</v>
      </c>
      <c r="C36" s="16" t="s">
        <v>1262</v>
      </c>
      <c r="D36" s="38" t="s">
        <v>1798</v>
      </c>
      <c r="E36" s="38" t="s">
        <v>129</v>
      </c>
      <c r="F36" s="38" t="s">
        <v>130</v>
      </c>
      <c r="G36" s="16" t="s">
        <v>2107</v>
      </c>
      <c r="H36" s="42" t="s">
        <v>131</v>
      </c>
      <c r="I36" s="94" t="s">
        <v>132</v>
      </c>
    </row>
    <row r="37" spans="1:9">
      <c r="A37" s="15">
        <v>215</v>
      </c>
      <c r="B37" s="16" t="s">
        <v>1607</v>
      </c>
      <c r="C37" s="16" t="s">
        <v>1273</v>
      </c>
      <c r="D37" s="38" t="s">
        <v>1798</v>
      </c>
      <c r="E37" s="38" t="s">
        <v>166</v>
      </c>
      <c r="F37" s="38" t="s">
        <v>130</v>
      </c>
      <c r="G37" s="16" t="s">
        <v>2108</v>
      </c>
      <c r="H37" s="42" t="s">
        <v>167</v>
      </c>
      <c r="I37" s="93" t="s">
        <v>168</v>
      </c>
    </row>
    <row r="38" spans="1:9">
      <c r="A38" s="15">
        <v>218</v>
      </c>
      <c r="B38" s="16" t="s">
        <v>1216</v>
      </c>
      <c r="C38" s="16" t="s">
        <v>1217</v>
      </c>
      <c r="D38" s="38" t="s">
        <v>1798</v>
      </c>
      <c r="E38" s="38" t="s">
        <v>148</v>
      </c>
      <c r="F38" s="38" t="s">
        <v>130</v>
      </c>
      <c r="G38" s="16" t="s">
        <v>2109</v>
      </c>
      <c r="H38" s="42" t="s">
        <v>149</v>
      </c>
      <c r="I38" s="94" t="s">
        <v>150</v>
      </c>
    </row>
    <row r="39" spans="1:9">
      <c r="A39" s="15">
        <v>230</v>
      </c>
      <c r="B39" s="16" t="s">
        <v>1609</v>
      </c>
      <c r="C39" s="16" t="s">
        <v>1276</v>
      </c>
      <c r="D39" s="38" t="s">
        <v>1798</v>
      </c>
      <c r="E39" s="38" t="s">
        <v>175</v>
      </c>
      <c r="F39" s="38" t="s">
        <v>130</v>
      </c>
      <c r="G39" s="16" t="s">
        <v>2110</v>
      </c>
      <c r="H39" s="42" t="s">
        <v>176</v>
      </c>
      <c r="I39" s="94" t="s">
        <v>177</v>
      </c>
    </row>
    <row r="40" spans="1:9">
      <c r="A40" s="15">
        <v>231</v>
      </c>
      <c r="B40" s="16" t="s">
        <v>1215</v>
      </c>
      <c r="C40" s="16" t="s">
        <v>1275</v>
      </c>
      <c r="D40" s="38" t="s">
        <v>1798</v>
      </c>
      <c r="E40" s="38" t="s">
        <v>172</v>
      </c>
      <c r="F40" s="38" t="s">
        <v>130</v>
      </c>
      <c r="G40" s="16" t="s">
        <v>2111</v>
      </c>
      <c r="H40" s="42" t="s">
        <v>173</v>
      </c>
      <c r="I40" s="94" t="s">
        <v>174</v>
      </c>
    </row>
    <row r="41" spans="1:9">
      <c r="A41" s="15">
        <v>263</v>
      </c>
      <c r="B41" s="16" t="s">
        <v>1603</v>
      </c>
      <c r="C41" s="16" t="s">
        <v>1269</v>
      </c>
      <c r="D41" s="38" t="s">
        <v>1798</v>
      </c>
      <c r="E41" s="38" t="s">
        <v>154</v>
      </c>
      <c r="F41" s="38" t="s">
        <v>130</v>
      </c>
      <c r="G41" s="16" t="s">
        <v>2112</v>
      </c>
      <c r="H41" s="42" t="s">
        <v>155</v>
      </c>
      <c r="I41" s="93" t="s">
        <v>156</v>
      </c>
    </row>
    <row r="42" spans="1:9">
      <c r="A42" s="15">
        <v>276</v>
      </c>
      <c r="B42" s="16" t="s">
        <v>1608</v>
      </c>
      <c r="C42" s="16" t="s">
        <v>1274</v>
      </c>
      <c r="D42" s="38" t="s">
        <v>1798</v>
      </c>
      <c r="E42" s="38" t="s">
        <v>169</v>
      </c>
      <c r="F42" s="38" t="s">
        <v>130</v>
      </c>
      <c r="G42" s="16" t="s">
        <v>2113</v>
      </c>
      <c r="H42" s="42" t="s">
        <v>170</v>
      </c>
      <c r="I42" s="93" t="s">
        <v>171</v>
      </c>
    </row>
    <row r="43" spans="1:9">
      <c r="A43" s="15">
        <v>279</v>
      </c>
      <c r="B43" s="16" t="s">
        <v>1598</v>
      </c>
      <c r="C43" s="16" t="s">
        <v>1264</v>
      </c>
      <c r="D43" s="38" t="s">
        <v>1798</v>
      </c>
      <c r="E43" s="38" t="s">
        <v>136</v>
      </c>
      <c r="F43" s="38" t="s">
        <v>130</v>
      </c>
      <c r="G43" s="16" t="s">
        <v>2114</v>
      </c>
      <c r="H43" s="42" t="s">
        <v>137</v>
      </c>
      <c r="I43" s="93" t="s">
        <v>138</v>
      </c>
    </row>
    <row r="44" spans="1:9">
      <c r="A44" s="15">
        <v>291</v>
      </c>
      <c r="B44" s="16" t="s">
        <v>1601</v>
      </c>
      <c r="C44" s="16" t="s">
        <v>1267</v>
      </c>
      <c r="D44" s="38" t="s">
        <v>1798</v>
      </c>
      <c r="E44" s="38" t="s">
        <v>145</v>
      </c>
      <c r="F44" s="38" t="s">
        <v>130</v>
      </c>
      <c r="G44" s="16" t="s">
        <v>2115</v>
      </c>
      <c r="H44" s="42" t="s">
        <v>146</v>
      </c>
      <c r="I44" s="93" t="s">
        <v>147</v>
      </c>
    </row>
    <row r="45" spans="1:9">
      <c r="A45" s="15">
        <v>299</v>
      </c>
      <c r="B45" s="16" t="s">
        <v>1600</v>
      </c>
      <c r="C45" s="16" t="s">
        <v>1266</v>
      </c>
      <c r="D45" s="38" t="s">
        <v>1798</v>
      </c>
      <c r="E45" s="38" t="s">
        <v>142</v>
      </c>
      <c r="F45" s="38" t="s">
        <v>130</v>
      </c>
      <c r="G45" s="16" t="s">
        <v>2116</v>
      </c>
      <c r="H45" s="42" t="s">
        <v>143</v>
      </c>
      <c r="I45" s="93" t="s">
        <v>144</v>
      </c>
    </row>
    <row r="46" spans="1:9">
      <c r="A46" s="15">
        <v>404</v>
      </c>
      <c r="B46" s="16" t="s">
        <v>2049</v>
      </c>
      <c r="C46" s="16" t="s">
        <v>2117</v>
      </c>
      <c r="D46" s="38" t="s">
        <v>1798</v>
      </c>
      <c r="E46" s="38" t="s">
        <v>2118</v>
      </c>
      <c r="F46" s="38" t="s">
        <v>130</v>
      </c>
      <c r="G46" s="16" t="s">
        <v>2119</v>
      </c>
      <c r="H46" s="42" t="s">
        <v>2120</v>
      </c>
      <c r="I46" s="94" t="s">
        <v>2121</v>
      </c>
    </row>
    <row r="47" spans="1:9">
      <c r="A47" s="15">
        <v>412</v>
      </c>
      <c r="B47" s="16" t="s">
        <v>1827</v>
      </c>
      <c r="C47" s="16" t="s">
        <v>1828</v>
      </c>
      <c r="D47" s="38" t="s">
        <v>1798</v>
      </c>
      <c r="E47" s="38" t="s">
        <v>1829</v>
      </c>
      <c r="F47" s="38" t="s">
        <v>130</v>
      </c>
      <c r="G47" s="16" t="s">
        <v>1830</v>
      </c>
      <c r="H47" s="42" t="s">
        <v>1831</v>
      </c>
      <c r="I47" s="94" t="s">
        <v>1832</v>
      </c>
    </row>
    <row r="48" spans="1:9">
      <c r="A48" s="15">
        <v>328</v>
      </c>
      <c r="B48" s="16" t="s">
        <v>1595</v>
      </c>
      <c r="C48" s="16" t="s">
        <v>1261</v>
      </c>
      <c r="D48" s="38" t="s">
        <v>1798</v>
      </c>
      <c r="E48" s="38" t="s">
        <v>126</v>
      </c>
      <c r="F48" s="38" t="s">
        <v>120</v>
      </c>
      <c r="G48" s="16" t="s">
        <v>2122</v>
      </c>
      <c r="H48" s="42" t="s">
        <v>127</v>
      </c>
      <c r="I48" s="94" t="s">
        <v>128</v>
      </c>
    </row>
    <row r="49" spans="1:9">
      <c r="A49" s="15">
        <v>377</v>
      </c>
      <c r="B49" s="16" t="s">
        <v>1593</v>
      </c>
      <c r="C49" s="16" t="s">
        <v>1259</v>
      </c>
      <c r="D49" s="38" t="s">
        <v>1798</v>
      </c>
      <c r="E49" s="38" t="s">
        <v>119</v>
      </c>
      <c r="F49" s="38" t="s">
        <v>120</v>
      </c>
      <c r="G49" s="16" t="s">
        <v>2123</v>
      </c>
      <c r="H49" s="42" t="s">
        <v>121</v>
      </c>
      <c r="I49" s="94" t="s">
        <v>122</v>
      </c>
    </row>
    <row r="50" spans="1:9">
      <c r="A50" s="15">
        <v>388</v>
      </c>
      <c r="B50" s="16" t="s">
        <v>1594</v>
      </c>
      <c r="C50" s="16" t="s">
        <v>1260</v>
      </c>
      <c r="D50" s="38" t="s">
        <v>1798</v>
      </c>
      <c r="E50" s="38" t="s">
        <v>123</v>
      </c>
      <c r="F50" s="38" t="s">
        <v>120</v>
      </c>
      <c r="G50" s="16" t="s">
        <v>2124</v>
      </c>
      <c r="H50" s="42" t="s">
        <v>124</v>
      </c>
      <c r="I50" s="93" t="s">
        <v>125</v>
      </c>
    </row>
    <row r="51" spans="1:9">
      <c r="A51" s="15">
        <v>414</v>
      </c>
      <c r="B51" s="16" t="s">
        <v>2125</v>
      </c>
      <c r="C51" s="16" t="s">
        <v>2126</v>
      </c>
      <c r="D51" s="38" t="s">
        <v>1798</v>
      </c>
      <c r="E51" s="38" t="s">
        <v>2127</v>
      </c>
      <c r="F51" s="38" t="s">
        <v>120</v>
      </c>
      <c r="G51" s="16" t="s">
        <v>2128</v>
      </c>
      <c r="H51" s="42" t="s">
        <v>2129</v>
      </c>
      <c r="I51" s="93" t="s">
        <v>2130</v>
      </c>
    </row>
    <row r="52" spans="1:9">
      <c r="A52" s="15">
        <v>168</v>
      </c>
      <c r="B52" s="16" t="s">
        <v>1587</v>
      </c>
      <c r="C52" s="16" t="s">
        <v>1253</v>
      </c>
      <c r="D52" s="38" t="s">
        <v>1798</v>
      </c>
      <c r="E52" s="38" t="s">
        <v>99</v>
      </c>
      <c r="F52" s="38" t="s">
        <v>100</v>
      </c>
      <c r="G52" s="16" t="s">
        <v>2131</v>
      </c>
      <c r="H52" s="42" t="s">
        <v>101</v>
      </c>
      <c r="I52" s="94" t="s">
        <v>102</v>
      </c>
    </row>
    <row r="53" spans="1:9">
      <c r="A53" s="15">
        <v>171</v>
      </c>
      <c r="B53" s="16" t="s">
        <v>1588</v>
      </c>
      <c r="C53" s="16" t="s">
        <v>1254</v>
      </c>
      <c r="D53" s="38" t="s">
        <v>1798</v>
      </c>
      <c r="E53" s="38" t="s">
        <v>103</v>
      </c>
      <c r="F53" s="38" t="s">
        <v>100</v>
      </c>
      <c r="G53" s="16" t="s">
        <v>2132</v>
      </c>
      <c r="H53" s="42" t="s">
        <v>104</v>
      </c>
      <c r="I53" s="94" t="s">
        <v>105</v>
      </c>
    </row>
    <row r="54" spans="1:9" ht="14.25" thickBot="1">
      <c r="A54" s="18">
        <v>172</v>
      </c>
      <c r="B54" s="19" t="s">
        <v>1589</v>
      </c>
      <c r="C54" s="19" t="s">
        <v>1255</v>
      </c>
      <c r="D54" s="48" t="s">
        <v>1798</v>
      </c>
      <c r="E54" s="48" t="s">
        <v>106</v>
      </c>
      <c r="F54" s="48" t="s">
        <v>100</v>
      </c>
      <c r="G54" s="19" t="s">
        <v>2133</v>
      </c>
      <c r="H54" s="49" t="s">
        <v>107</v>
      </c>
      <c r="I54" s="95" t="s">
        <v>108</v>
      </c>
    </row>
    <row r="55" spans="1:9">
      <c r="A55" s="11">
        <v>282</v>
      </c>
      <c r="B55" s="12" t="s">
        <v>1590</v>
      </c>
      <c r="C55" s="12" t="s">
        <v>1256</v>
      </c>
      <c r="D55" s="36" t="s">
        <v>1798</v>
      </c>
      <c r="E55" s="36" t="s">
        <v>109</v>
      </c>
      <c r="F55" s="36" t="s">
        <v>100</v>
      </c>
      <c r="G55" s="12" t="s">
        <v>2134</v>
      </c>
      <c r="H55" s="37" t="s">
        <v>110</v>
      </c>
      <c r="I55" s="92" t="s">
        <v>111</v>
      </c>
    </row>
    <row r="56" spans="1:9">
      <c r="A56" s="13">
        <v>262</v>
      </c>
      <c r="B56" s="20" t="s">
        <v>1591</v>
      </c>
      <c r="C56" s="20" t="s">
        <v>1257</v>
      </c>
      <c r="D56" s="40" t="s">
        <v>1798</v>
      </c>
      <c r="E56" s="40" t="s">
        <v>112</v>
      </c>
      <c r="F56" s="40" t="s">
        <v>113</v>
      </c>
      <c r="G56" s="20" t="s">
        <v>2135</v>
      </c>
      <c r="H56" s="41" t="s">
        <v>114</v>
      </c>
      <c r="I56" s="96" t="s">
        <v>115</v>
      </c>
    </row>
    <row r="57" spans="1:9">
      <c r="A57" s="15">
        <v>353</v>
      </c>
      <c r="B57" s="16" t="s">
        <v>1592</v>
      </c>
      <c r="C57" s="16" t="s">
        <v>1258</v>
      </c>
      <c r="D57" s="38" t="s">
        <v>1798</v>
      </c>
      <c r="E57" s="38" t="s">
        <v>116</v>
      </c>
      <c r="F57" s="38" t="s">
        <v>113</v>
      </c>
      <c r="G57" s="16" t="s">
        <v>2136</v>
      </c>
      <c r="H57" s="42" t="s">
        <v>117</v>
      </c>
      <c r="I57" s="94" t="s">
        <v>118</v>
      </c>
    </row>
    <row r="58" spans="1:9">
      <c r="A58" s="15">
        <v>180</v>
      </c>
      <c r="B58" s="16" t="s">
        <v>1585</v>
      </c>
      <c r="C58" s="16" t="s">
        <v>1249</v>
      </c>
      <c r="D58" s="38" t="s">
        <v>1798</v>
      </c>
      <c r="E58" s="38" t="s">
        <v>90</v>
      </c>
      <c r="F58" s="38" t="s">
        <v>80</v>
      </c>
      <c r="G58" s="16" t="s">
        <v>2137</v>
      </c>
      <c r="H58" s="42" t="s">
        <v>91</v>
      </c>
      <c r="I58" s="94" t="s">
        <v>92</v>
      </c>
    </row>
    <row r="59" spans="1:9">
      <c r="A59" s="15">
        <v>224</v>
      </c>
      <c r="B59" s="16" t="s">
        <v>1583</v>
      </c>
      <c r="C59" s="16" t="s">
        <v>1247</v>
      </c>
      <c r="D59" s="38" t="s">
        <v>1798</v>
      </c>
      <c r="E59" s="38" t="s">
        <v>84</v>
      </c>
      <c r="F59" s="38" t="s">
        <v>80</v>
      </c>
      <c r="G59" s="16" t="s">
        <v>2138</v>
      </c>
      <c r="H59" s="42" t="s">
        <v>85</v>
      </c>
      <c r="I59" s="94" t="s">
        <v>86</v>
      </c>
    </row>
    <row r="60" spans="1:9">
      <c r="A60" s="15">
        <v>343</v>
      </c>
      <c r="B60" s="16" t="s">
        <v>1582</v>
      </c>
      <c r="C60" s="16" t="s">
        <v>1246</v>
      </c>
      <c r="D60" s="38" t="s">
        <v>1798</v>
      </c>
      <c r="E60" s="38" t="s">
        <v>81</v>
      </c>
      <c r="F60" s="38" t="s">
        <v>80</v>
      </c>
      <c r="G60" s="16" t="s">
        <v>2139</v>
      </c>
      <c r="H60" s="42" t="s">
        <v>82</v>
      </c>
      <c r="I60" s="94" t="s">
        <v>83</v>
      </c>
    </row>
    <row r="61" spans="1:9">
      <c r="A61" s="15">
        <v>371</v>
      </c>
      <c r="B61" s="16" t="s">
        <v>1586</v>
      </c>
      <c r="C61" s="16" t="s">
        <v>1251</v>
      </c>
      <c r="D61" s="38" t="s">
        <v>1798</v>
      </c>
      <c r="E61" s="38" t="s">
        <v>96</v>
      </c>
      <c r="F61" s="38" t="s">
        <v>80</v>
      </c>
      <c r="G61" s="16" t="s">
        <v>2140</v>
      </c>
      <c r="H61" s="42" t="s">
        <v>97</v>
      </c>
      <c r="I61" s="94" t="s">
        <v>98</v>
      </c>
    </row>
    <row r="62" spans="1:9">
      <c r="A62" s="15">
        <v>383</v>
      </c>
      <c r="B62" s="16" t="s">
        <v>1220</v>
      </c>
      <c r="C62" s="16" t="s">
        <v>1250</v>
      </c>
      <c r="D62" s="38" t="s">
        <v>1798</v>
      </c>
      <c r="E62" s="38" t="s">
        <v>93</v>
      </c>
      <c r="F62" s="38" t="s">
        <v>80</v>
      </c>
      <c r="G62" s="16" t="s">
        <v>2141</v>
      </c>
      <c r="H62" s="42" t="s">
        <v>94</v>
      </c>
      <c r="I62" s="94" t="s">
        <v>95</v>
      </c>
    </row>
    <row r="63" spans="1:9">
      <c r="A63" s="15">
        <v>392</v>
      </c>
      <c r="B63" s="16" t="s">
        <v>1584</v>
      </c>
      <c r="C63" s="16" t="s">
        <v>1248</v>
      </c>
      <c r="D63" s="38" t="s">
        <v>1798</v>
      </c>
      <c r="E63" s="38" t="s">
        <v>87</v>
      </c>
      <c r="F63" s="38" t="s">
        <v>80</v>
      </c>
      <c r="G63" s="16" t="s">
        <v>2142</v>
      </c>
      <c r="H63" s="42" t="s">
        <v>88</v>
      </c>
      <c r="I63" s="94" t="s">
        <v>89</v>
      </c>
    </row>
    <row r="64" spans="1:9">
      <c r="A64" s="15">
        <v>398</v>
      </c>
      <c r="B64" s="16" t="s">
        <v>1559</v>
      </c>
      <c r="C64" s="16" t="s">
        <v>1252</v>
      </c>
      <c r="D64" s="38" t="s">
        <v>1798</v>
      </c>
      <c r="E64" s="38" t="s">
        <v>2143</v>
      </c>
      <c r="F64" s="38" t="s">
        <v>80</v>
      </c>
      <c r="G64" s="16" t="s">
        <v>2144</v>
      </c>
      <c r="H64" s="42" t="s">
        <v>2145</v>
      </c>
      <c r="I64" s="94" t="s">
        <v>2146</v>
      </c>
    </row>
    <row r="65" spans="1:9">
      <c r="A65" s="15">
        <v>407</v>
      </c>
      <c r="B65" s="16" t="s">
        <v>2050</v>
      </c>
      <c r="C65" s="16" t="s">
        <v>2147</v>
      </c>
      <c r="D65" s="38" t="s">
        <v>1798</v>
      </c>
      <c r="E65" s="38" t="s">
        <v>2148</v>
      </c>
      <c r="F65" s="38" t="s">
        <v>80</v>
      </c>
      <c r="G65" s="16" t="s">
        <v>2149</v>
      </c>
      <c r="H65" s="42" t="s">
        <v>2150</v>
      </c>
      <c r="I65" s="93" t="s">
        <v>2151</v>
      </c>
    </row>
    <row r="66" spans="1:9">
      <c r="A66" s="15">
        <v>31</v>
      </c>
      <c r="B66" s="16" t="s">
        <v>820</v>
      </c>
      <c r="C66" s="16" t="s">
        <v>1452</v>
      </c>
      <c r="D66" s="38" t="s">
        <v>1201</v>
      </c>
      <c r="E66" s="38" t="s">
        <v>821</v>
      </c>
      <c r="F66" s="38" t="s">
        <v>783</v>
      </c>
      <c r="G66" s="16" t="s">
        <v>822</v>
      </c>
      <c r="H66" s="42" t="s">
        <v>823</v>
      </c>
      <c r="I66" s="94" t="s">
        <v>824</v>
      </c>
    </row>
    <row r="67" spans="1:9">
      <c r="A67" s="15">
        <v>36</v>
      </c>
      <c r="B67" s="16" t="s">
        <v>807</v>
      </c>
      <c r="C67" s="16" t="s">
        <v>1449</v>
      </c>
      <c r="D67" s="38" t="s">
        <v>1201</v>
      </c>
      <c r="E67" s="38" t="s">
        <v>808</v>
      </c>
      <c r="F67" s="38" t="s">
        <v>783</v>
      </c>
      <c r="G67" s="16" t="s">
        <v>809</v>
      </c>
      <c r="H67" s="42" t="s">
        <v>810</v>
      </c>
      <c r="I67" s="94" t="s">
        <v>811</v>
      </c>
    </row>
    <row r="68" spans="1:9">
      <c r="A68" s="15">
        <v>39</v>
      </c>
      <c r="B68" s="16" t="s">
        <v>825</v>
      </c>
      <c r="C68" s="16" t="s">
        <v>1453</v>
      </c>
      <c r="D68" s="38" t="s">
        <v>1201</v>
      </c>
      <c r="E68" s="38" t="s">
        <v>826</v>
      </c>
      <c r="F68" s="38" t="s">
        <v>783</v>
      </c>
      <c r="G68" s="16" t="s">
        <v>827</v>
      </c>
      <c r="H68" s="42" t="s">
        <v>828</v>
      </c>
      <c r="I68" s="94" t="s">
        <v>829</v>
      </c>
    </row>
    <row r="69" spans="1:9">
      <c r="A69" s="15">
        <v>50</v>
      </c>
      <c r="B69" s="16" t="s">
        <v>1716</v>
      </c>
      <c r="C69" s="16" t="s">
        <v>1448</v>
      </c>
      <c r="D69" s="38" t="s">
        <v>1201</v>
      </c>
      <c r="E69" s="38" t="s">
        <v>803</v>
      </c>
      <c r="F69" s="38" t="s">
        <v>783</v>
      </c>
      <c r="G69" s="16" t="s">
        <v>804</v>
      </c>
      <c r="H69" s="42" t="s">
        <v>805</v>
      </c>
      <c r="I69" s="94" t="s">
        <v>806</v>
      </c>
    </row>
    <row r="70" spans="1:9">
      <c r="A70" s="15">
        <v>114</v>
      </c>
      <c r="B70" s="16" t="s">
        <v>816</v>
      </c>
      <c r="C70" s="16" t="s">
        <v>1451</v>
      </c>
      <c r="D70" s="38" t="s">
        <v>1201</v>
      </c>
      <c r="E70" s="38" t="s">
        <v>817</v>
      </c>
      <c r="F70" s="38" t="s">
        <v>783</v>
      </c>
      <c r="G70" s="16" t="s">
        <v>2152</v>
      </c>
      <c r="H70" s="42" t="s">
        <v>818</v>
      </c>
      <c r="I70" s="94" t="s">
        <v>819</v>
      </c>
    </row>
    <row r="71" spans="1:9">
      <c r="A71" s="15">
        <v>136</v>
      </c>
      <c r="B71" s="16" t="s">
        <v>812</v>
      </c>
      <c r="C71" s="16" t="s">
        <v>1450</v>
      </c>
      <c r="D71" s="38" t="s">
        <v>1201</v>
      </c>
      <c r="E71" s="38" t="s">
        <v>813</v>
      </c>
      <c r="F71" s="38" t="s">
        <v>783</v>
      </c>
      <c r="G71" s="16" t="s">
        <v>2153</v>
      </c>
      <c r="H71" s="42" t="s">
        <v>814</v>
      </c>
      <c r="I71" s="93" t="s">
        <v>815</v>
      </c>
    </row>
    <row r="72" spans="1:9">
      <c r="A72" s="15">
        <v>138</v>
      </c>
      <c r="B72" s="16" t="s">
        <v>789</v>
      </c>
      <c r="C72" s="16" t="s">
        <v>1444</v>
      </c>
      <c r="D72" s="38" t="s">
        <v>1201</v>
      </c>
      <c r="E72" s="38" t="s">
        <v>790</v>
      </c>
      <c r="F72" s="38" t="s">
        <v>783</v>
      </c>
      <c r="G72" s="16" t="s">
        <v>791</v>
      </c>
      <c r="H72" s="42" t="s">
        <v>792</v>
      </c>
      <c r="I72" s="94" t="s">
        <v>793</v>
      </c>
    </row>
    <row r="73" spans="1:9">
      <c r="A73" s="15">
        <v>155</v>
      </c>
      <c r="B73" s="16" t="s">
        <v>1711</v>
      </c>
      <c r="C73" s="16" t="s">
        <v>1442</v>
      </c>
      <c r="D73" s="38" t="s">
        <v>1201</v>
      </c>
      <c r="E73" s="38" t="s">
        <v>782</v>
      </c>
      <c r="F73" s="38" t="s">
        <v>783</v>
      </c>
      <c r="G73" s="16" t="s">
        <v>2154</v>
      </c>
      <c r="H73" s="42" t="s">
        <v>784</v>
      </c>
      <c r="I73" s="93" t="s">
        <v>785</v>
      </c>
    </row>
    <row r="74" spans="1:9">
      <c r="A74" s="15">
        <v>223</v>
      </c>
      <c r="B74" s="16" t="s">
        <v>1712</v>
      </c>
      <c r="C74" s="16" t="s">
        <v>1443</v>
      </c>
      <c r="D74" s="38" t="s">
        <v>1201</v>
      </c>
      <c r="E74" s="38" t="s">
        <v>786</v>
      </c>
      <c r="F74" s="38" t="s">
        <v>783</v>
      </c>
      <c r="G74" s="16" t="s">
        <v>2155</v>
      </c>
      <c r="H74" s="42" t="s">
        <v>787</v>
      </c>
      <c r="I74" s="94" t="s">
        <v>788</v>
      </c>
    </row>
    <row r="75" spans="1:9">
      <c r="A75" s="15">
        <v>368</v>
      </c>
      <c r="B75" s="16" t="s">
        <v>1713</v>
      </c>
      <c r="C75" s="16" t="s">
        <v>1445</v>
      </c>
      <c r="D75" s="38" t="s">
        <v>1201</v>
      </c>
      <c r="E75" s="38" t="s">
        <v>794</v>
      </c>
      <c r="F75" s="38" t="s">
        <v>783</v>
      </c>
      <c r="G75" s="16" t="s">
        <v>2156</v>
      </c>
      <c r="H75" s="42" t="s">
        <v>795</v>
      </c>
      <c r="I75" s="93" t="s">
        <v>796</v>
      </c>
    </row>
    <row r="76" spans="1:9">
      <c r="A76" s="15">
        <v>384</v>
      </c>
      <c r="B76" s="16" t="s">
        <v>1714</v>
      </c>
      <c r="C76" s="16" t="s">
        <v>1446</v>
      </c>
      <c r="D76" s="38" t="s">
        <v>1201</v>
      </c>
      <c r="E76" s="38" t="s">
        <v>797</v>
      </c>
      <c r="F76" s="38" t="s">
        <v>783</v>
      </c>
      <c r="G76" s="16" t="s">
        <v>2157</v>
      </c>
      <c r="H76" s="42" t="s">
        <v>798</v>
      </c>
      <c r="I76" s="93" t="s">
        <v>799</v>
      </c>
    </row>
    <row r="77" spans="1:9">
      <c r="A77" s="15">
        <v>387</v>
      </c>
      <c r="B77" s="16" t="s">
        <v>1715</v>
      </c>
      <c r="C77" s="16" t="s">
        <v>1447</v>
      </c>
      <c r="D77" s="38" t="s">
        <v>1201</v>
      </c>
      <c r="E77" s="38" t="s">
        <v>800</v>
      </c>
      <c r="F77" s="38" t="s">
        <v>783</v>
      </c>
      <c r="G77" s="16" t="s">
        <v>2158</v>
      </c>
      <c r="H77" s="42" t="s">
        <v>801</v>
      </c>
      <c r="I77" s="94" t="s">
        <v>802</v>
      </c>
    </row>
    <row r="78" spans="1:9">
      <c r="A78" s="15">
        <v>20</v>
      </c>
      <c r="B78" s="16" t="s">
        <v>1019</v>
      </c>
      <c r="C78" s="16" t="s">
        <v>1510</v>
      </c>
      <c r="D78" s="38" t="s">
        <v>1201</v>
      </c>
      <c r="E78" s="38" t="s">
        <v>1020</v>
      </c>
      <c r="F78" s="38" t="s">
        <v>1000</v>
      </c>
      <c r="G78" s="16" t="s">
        <v>2159</v>
      </c>
      <c r="H78" s="42" t="s">
        <v>1021</v>
      </c>
      <c r="I78" s="94" t="s">
        <v>1022</v>
      </c>
    </row>
    <row r="79" spans="1:9">
      <c r="A79" s="15">
        <v>22</v>
      </c>
      <c r="B79" s="16" t="s">
        <v>1034</v>
      </c>
      <c r="C79" s="16" t="s">
        <v>1514</v>
      </c>
      <c r="D79" s="38" t="s">
        <v>1201</v>
      </c>
      <c r="E79" s="38" t="s">
        <v>1035</v>
      </c>
      <c r="F79" s="38" t="s">
        <v>1000</v>
      </c>
      <c r="G79" s="16" t="s">
        <v>1036</v>
      </c>
      <c r="H79" s="42" t="s">
        <v>1037</v>
      </c>
      <c r="I79" s="93" t="s">
        <v>1038</v>
      </c>
    </row>
    <row r="80" spans="1:9">
      <c r="A80" s="15">
        <v>47</v>
      </c>
      <c r="B80" s="16" t="s">
        <v>1047</v>
      </c>
      <c r="C80" s="16" t="s">
        <v>1517</v>
      </c>
      <c r="D80" s="38" t="s">
        <v>1201</v>
      </c>
      <c r="E80" s="38" t="s">
        <v>1048</v>
      </c>
      <c r="F80" s="38" t="s">
        <v>1000</v>
      </c>
      <c r="G80" s="16" t="s">
        <v>1049</v>
      </c>
      <c r="H80" s="42" t="s">
        <v>1050</v>
      </c>
      <c r="I80" s="93" t="s">
        <v>1051</v>
      </c>
    </row>
    <row r="81" spans="1:9">
      <c r="A81" s="15">
        <v>51</v>
      </c>
      <c r="B81" s="16" t="s">
        <v>1042</v>
      </c>
      <c r="C81" s="16" t="s">
        <v>1516</v>
      </c>
      <c r="D81" s="38" t="s">
        <v>1201</v>
      </c>
      <c r="E81" s="38" t="s">
        <v>1043</v>
      </c>
      <c r="F81" s="38" t="s">
        <v>1000</v>
      </c>
      <c r="G81" s="16" t="s">
        <v>1044</v>
      </c>
      <c r="H81" s="42" t="s">
        <v>1045</v>
      </c>
      <c r="I81" s="93" t="s">
        <v>1046</v>
      </c>
    </row>
    <row r="82" spans="1:9">
      <c r="A82" s="15">
        <v>83</v>
      </c>
      <c r="B82" s="16" t="s">
        <v>1014</v>
      </c>
      <c r="C82" s="16" t="s">
        <v>1509</v>
      </c>
      <c r="D82" s="38" t="s">
        <v>1201</v>
      </c>
      <c r="E82" s="38" t="s">
        <v>1015</v>
      </c>
      <c r="F82" s="38" t="s">
        <v>1000</v>
      </c>
      <c r="G82" s="16" t="s">
        <v>1016</v>
      </c>
      <c r="H82" s="42" t="s">
        <v>1017</v>
      </c>
      <c r="I82" s="94" t="s">
        <v>1018</v>
      </c>
    </row>
    <row r="83" spans="1:9">
      <c r="A83" s="15">
        <v>105</v>
      </c>
      <c r="B83" s="16" t="s">
        <v>1023</v>
      </c>
      <c r="C83" s="16" t="s">
        <v>1511</v>
      </c>
      <c r="D83" s="38" t="s">
        <v>1201</v>
      </c>
      <c r="E83" s="38" t="s">
        <v>1024</v>
      </c>
      <c r="F83" s="38" t="s">
        <v>1000</v>
      </c>
      <c r="G83" s="16" t="s">
        <v>1025</v>
      </c>
      <c r="H83" s="42" t="s">
        <v>1026</v>
      </c>
      <c r="I83" s="93" t="s">
        <v>1027</v>
      </c>
    </row>
    <row r="84" spans="1:9">
      <c r="A84" s="15">
        <v>119</v>
      </c>
      <c r="B84" s="16" t="s">
        <v>1006</v>
      </c>
      <c r="C84" s="16" t="s">
        <v>1507</v>
      </c>
      <c r="D84" s="38" t="s">
        <v>1201</v>
      </c>
      <c r="E84" s="38" t="s">
        <v>1007</v>
      </c>
      <c r="F84" s="38" t="s">
        <v>1000</v>
      </c>
      <c r="G84" s="16" t="s">
        <v>1008</v>
      </c>
      <c r="H84" s="42" t="s">
        <v>1009</v>
      </c>
      <c r="I84" s="94" t="s">
        <v>1010</v>
      </c>
    </row>
    <row r="85" spans="1:9">
      <c r="A85" s="15">
        <v>238</v>
      </c>
      <c r="B85" s="16" t="s">
        <v>1762</v>
      </c>
      <c r="C85" s="16" t="s">
        <v>1515</v>
      </c>
      <c r="D85" s="38" t="s">
        <v>1201</v>
      </c>
      <c r="E85" s="38" t="s">
        <v>1039</v>
      </c>
      <c r="F85" s="38" t="s">
        <v>1000</v>
      </c>
      <c r="G85" s="16" t="s">
        <v>2160</v>
      </c>
      <c r="H85" s="42" t="s">
        <v>1040</v>
      </c>
      <c r="I85" s="94" t="s">
        <v>1041</v>
      </c>
    </row>
    <row r="86" spans="1:9">
      <c r="A86" s="15">
        <v>239</v>
      </c>
      <c r="B86" s="16" t="s">
        <v>1760</v>
      </c>
      <c r="C86" s="16" t="s">
        <v>1512</v>
      </c>
      <c r="D86" s="38" t="s">
        <v>1201</v>
      </c>
      <c r="E86" s="38" t="s">
        <v>1028</v>
      </c>
      <c r="F86" s="38" t="s">
        <v>1000</v>
      </c>
      <c r="G86" s="16" t="s">
        <v>2161</v>
      </c>
      <c r="H86" s="42" t="s">
        <v>1029</v>
      </c>
      <c r="I86" s="94" t="s">
        <v>1030</v>
      </c>
    </row>
    <row r="87" spans="1:9">
      <c r="A87" s="15">
        <v>245</v>
      </c>
      <c r="B87" s="16" t="s">
        <v>1761</v>
      </c>
      <c r="C87" s="16" t="s">
        <v>1513</v>
      </c>
      <c r="D87" s="38" t="s">
        <v>1201</v>
      </c>
      <c r="E87" s="38" t="s">
        <v>1031</v>
      </c>
      <c r="F87" s="38" t="s">
        <v>1000</v>
      </c>
      <c r="G87" s="16" t="s">
        <v>2162</v>
      </c>
      <c r="H87" s="42" t="s">
        <v>1032</v>
      </c>
      <c r="I87" s="93" t="s">
        <v>1033</v>
      </c>
    </row>
    <row r="88" spans="1:9">
      <c r="A88" s="15">
        <v>246</v>
      </c>
      <c r="B88" s="16" t="s">
        <v>1764</v>
      </c>
      <c r="C88" s="16" t="s">
        <v>1519</v>
      </c>
      <c r="D88" s="38" t="s">
        <v>1201</v>
      </c>
      <c r="E88" s="38" t="s">
        <v>1055</v>
      </c>
      <c r="F88" s="38" t="s">
        <v>1000</v>
      </c>
      <c r="G88" s="16" t="s">
        <v>2163</v>
      </c>
      <c r="H88" s="42" t="s">
        <v>1056</v>
      </c>
      <c r="I88" s="93" t="s">
        <v>1057</v>
      </c>
    </row>
    <row r="89" spans="1:9">
      <c r="A89" s="15">
        <v>247</v>
      </c>
      <c r="B89" s="16" t="s">
        <v>1758</v>
      </c>
      <c r="C89" s="16" t="s">
        <v>1506</v>
      </c>
      <c r="D89" s="38" t="s">
        <v>1201</v>
      </c>
      <c r="E89" s="38" t="s">
        <v>1003</v>
      </c>
      <c r="F89" s="38" t="s">
        <v>1000</v>
      </c>
      <c r="G89" s="16" t="s">
        <v>2164</v>
      </c>
      <c r="H89" s="42" t="s">
        <v>1004</v>
      </c>
      <c r="I89" s="93" t="s">
        <v>1005</v>
      </c>
    </row>
    <row r="90" spans="1:9">
      <c r="A90" s="15">
        <v>259</v>
      </c>
      <c r="B90" s="16" t="s">
        <v>1759</v>
      </c>
      <c r="C90" s="16" t="s">
        <v>1508</v>
      </c>
      <c r="D90" s="38" t="s">
        <v>1201</v>
      </c>
      <c r="E90" s="38" t="s">
        <v>1011</v>
      </c>
      <c r="F90" s="38" t="s">
        <v>1000</v>
      </c>
      <c r="G90" s="16" t="s">
        <v>2165</v>
      </c>
      <c r="H90" s="42" t="s">
        <v>1012</v>
      </c>
      <c r="I90" s="93" t="s">
        <v>1013</v>
      </c>
    </row>
    <row r="91" spans="1:9">
      <c r="A91" s="15">
        <v>302</v>
      </c>
      <c r="B91" s="16" t="s">
        <v>1763</v>
      </c>
      <c r="C91" s="16" t="s">
        <v>1518</v>
      </c>
      <c r="D91" s="38" t="s">
        <v>1201</v>
      </c>
      <c r="E91" s="38" t="s">
        <v>1052</v>
      </c>
      <c r="F91" s="38" t="s">
        <v>1000</v>
      </c>
      <c r="G91" s="16" t="s">
        <v>2166</v>
      </c>
      <c r="H91" s="42" t="s">
        <v>1053</v>
      </c>
      <c r="I91" s="93" t="s">
        <v>1054</v>
      </c>
    </row>
    <row r="92" spans="1:9">
      <c r="A92" s="15">
        <v>367</v>
      </c>
      <c r="B92" s="16" t="s">
        <v>1757</v>
      </c>
      <c r="C92" s="16" t="s">
        <v>1505</v>
      </c>
      <c r="D92" s="38" t="s">
        <v>1201</v>
      </c>
      <c r="E92" s="38" t="s">
        <v>999</v>
      </c>
      <c r="F92" s="38" t="s">
        <v>1000</v>
      </c>
      <c r="G92" s="16" t="s">
        <v>2167</v>
      </c>
      <c r="H92" s="42" t="s">
        <v>1001</v>
      </c>
      <c r="I92" s="93" t="s">
        <v>1002</v>
      </c>
    </row>
    <row r="93" spans="1:9">
      <c r="A93" s="15">
        <v>15</v>
      </c>
      <c r="B93" s="16" t="s">
        <v>1063</v>
      </c>
      <c r="C93" s="16" t="s">
        <v>1521</v>
      </c>
      <c r="D93" s="38" t="s">
        <v>1201</v>
      </c>
      <c r="E93" s="38" t="s">
        <v>1064</v>
      </c>
      <c r="F93" s="38" t="s">
        <v>1060</v>
      </c>
      <c r="G93" s="16" t="s">
        <v>2168</v>
      </c>
      <c r="H93" s="42" t="s">
        <v>1065</v>
      </c>
      <c r="I93" s="93" t="s">
        <v>1066</v>
      </c>
    </row>
    <row r="94" spans="1:9">
      <c r="A94" s="15">
        <v>62</v>
      </c>
      <c r="B94" s="16" t="s">
        <v>1083</v>
      </c>
      <c r="C94" s="16" t="s">
        <v>1526</v>
      </c>
      <c r="D94" s="38" t="s">
        <v>1201</v>
      </c>
      <c r="E94" s="38" t="s">
        <v>1084</v>
      </c>
      <c r="F94" s="38" t="s">
        <v>1060</v>
      </c>
      <c r="G94" s="16" t="s">
        <v>1085</v>
      </c>
      <c r="H94" s="42" t="s">
        <v>1086</v>
      </c>
      <c r="I94" s="94" t="s">
        <v>1087</v>
      </c>
    </row>
    <row r="95" spans="1:9">
      <c r="A95" s="15">
        <v>71</v>
      </c>
      <c r="B95" s="16" t="s">
        <v>1067</v>
      </c>
      <c r="C95" s="16" t="s">
        <v>1522</v>
      </c>
      <c r="D95" s="38" t="s">
        <v>1201</v>
      </c>
      <c r="E95" s="38" t="s">
        <v>1068</v>
      </c>
      <c r="F95" s="38" t="s">
        <v>1060</v>
      </c>
      <c r="G95" s="16" t="s">
        <v>1069</v>
      </c>
      <c r="H95" s="42" t="s">
        <v>1070</v>
      </c>
      <c r="I95" s="94" t="s">
        <v>1071</v>
      </c>
    </row>
    <row r="96" spans="1:9">
      <c r="A96" s="15">
        <v>103</v>
      </c>
      <c r="B96" s="16" t="s">
        <v>1072</v>
      </c>
      <c r="C96" s="16" t="s">
        <v>1523</v>
      </c>
      <c r="D96" s="38" t="s">
        <v>1201</v>
      </c>
      <c r="E96" s="38" t="s">
        <v>1073</v>
      </c>
      <c r="F96" s="38" t="s">
        <v>1060</v>
      </c>
      <c r="G96" s="16" t="s">
        <v>1074</v>
      </c>
      <c r="H96" s="42" t="s">
        <v>1075</v>
      </c>
      <c r="I96" s="94" t="s">
        <v>1076</v>
      </c>
    </row>
    <row r="97" spans="1:9">
      <c r="A97" s="15">
        <v>107</v>
      </c>
      <c r="B97" s="16" t="s">
        <v>1114</v>
      </c>
      <c r="C97" s="16" t="s">
        <v>1535</v>
      </c>
      <c r="D97" s="38" t="s">
        <v>1201</v>
      </c>
      <c r="E97" s="38" t="s">
        <v>1115</v>
      </c>
      <c r="F97" s="38" t="s">
        <v>1060</v>
      </c>
      <c r="G97" s="16" t="s">
        <v>2169</v>
      </c>
      <c r="H97" s="42" t="s">
        <v>1116</v>
      </c>
      <c r="I97" s="93" t="s">
        <v>1117</v>
      </c>
    </row>
    <row r="98" spans="1:9">
      <c r="A98" s="15">
        <v>112</v>
      </c>
      <c r="B98" s="16" t="s">
        <v>1058</v>
      </c>
      <c r="C98" s="16" t="s">
        <v>1520</v>
      </c>
      <c r="D98" s="38" t="s">
        <v>1201</v>
      </c>
      <c r="E98" s="38" t="s">
        <v>1059</v>
      </c>
      <c r="F98" s="38" t="s">
        <v>1060</v>
      </c>
      <c r="G98" s="16" t="s">
        <v>2170</v>
      </c>
      <c r="H98" s="42" t="s">
        <v>1061</v>
      </c>
      <c r="I98" s="94" t="s">
        <v>1062</v>
      </c>
    </row>
    <row r="99" spans="1:9">
      <c r="A99" s="15">
        <v>128</v>
      </c>
      <c r="B99" s="16" t="s">
        <v>1100</v>
      </c>
      <c r="C99" s="16" t="s">
        <v>1531</v>
      </c>
      <c r="D99" s="38" t="s">
        <v>1201</v>
      </c>
      <c r="E99" s="38" t="s">
        <v>1101</v>
      </c>
      <c r="F99" s="38" t="s">
        <v>1060</v>
      </c>
      <c r="G99" s="16" t="s">
        <v>1102</v>
      </c>
      <c r="H99" s="42" t="s">
        <v>1103</v>
      </c>
      <c r="I99" s="94" t="s">
        <v>1104</v>
      </c>
    </row>
    <row r="100" spans="1:9">
      <c r="A100" s="15">
        <v>213</v>
      </c>
      <c r="B100" s="16" t="s">
        <v>1767</v>
      </c>
      <c r="C100" s="16" t="s">
        <v>1527</v>
      </c>
      <c r="D100" s="38" t="s">
        <v>1201</v>
      </c>
      <c r="E100" s="38" t="s">
        <v>1088</v>
      </c>
      <c r="F100" s="38" t="s">
        <v>1060</v>
      </c>
      <c r="G100" s="16" t="s">
        <v>2171</v>
      </c>
      <c r="H100" s="42" t="s">
        <v>1089</v>
      </c>
      <c r="I100" s="94" t="s">
        <v>1090</v>
      </c>
    </row>
    <row r="101" spans="1:9">
      <c r="A101" s="15">
        <v>293</v>
      </c>
      <c r="B101" s="16" t="s">
        <v>1765</v>
      </c>
      <c r="C101" s="16" t="s">
        <v>1524</v>
      </c>
      <c r="D101" s="38" t="s">
        <v>1201</v>
      </c>
      <c r="E101" s="38" t="s">
        <v>1077</v>
      </c>
      <c r="F101" s="38" t="s">
        <v>1060</v>
      </c>
      <c r="G101" s="16" t="s">
        <v>2172</v>
      </c>
      <c r="H101" s="42" t="s">
        <v>1078</v>
      </c>
      <c r="I101" s="94" t="s">
        <v>1079</v>
      </c>
    </row>
    <row r="102" spans="1:9">
      <c r="A102" s="15">
        <v>294</v>
      </c>
      <c r="B102" s="16" t="s">
        <v>1772</v>
      </c>
      <c r="C102" s="16" t="s">
        <v>1533</v>
      </c>
      <c r="D102" s="38" t="s">
        <v>1201</v>
      </c>
      <c r="E102" s="38" t="s">
        <v>1108</v>
      </c>
      <c r="F102" s="38" t="s">
        <v>1060</v>
      </c>
      <c r="G102" s="16" t="s">
        <v>2173</v>
      </c>
      <c r="H102" s="42" t="s">
        <v>1109</v>
      </c>
      <c r="I102" s="94" t="s">
        <v>1110</v>
      </c>
    </row>
    <row r="103" spans="1:9">
      <c r="A103" s="15">
        <v>315</v>
      </c>
      <c r="B103" s="16" t="s">
        <v>1773</v>
      </c>
      <c r="C103" s="16" t="s">
        <v>1534</v>
      </c>
      <c r="D103" s="38" t="s">
        <v>1201</v>
      </c>
      <c r="E103" s="38" t="s">
        <v>1111</v>
      </c>
      <c r="F103" s="38" t="s">
        <v>1060</v>
      </c>
      <c r="G103" s="16" t="s">
        <v>2174</v>
      </c>
      <c r="H103" s="42" t="s">
        <v>1112</v>
      </c>
      <c r="I103" s="93" t="s">
        <v>1113</v>
      </c>
    </row>
    <row r="104" spans="1:9">
      <c r="A104" s="15">
        <v>316</v>
      </c>
      <c r="B104" s="16" t="s">
        <v>1771</v>
      </c>
      <c r="C104" s="16" t="s">
        <v>1532</v>
      </c>
      <c r="D104" s="38" t="s">
        <v>1201</v>
      </c>
      <c r="E104" s="38" t="s">
        <v>1105</v>
      </c>
      <c r="F104" s="38" t="s">
        <v>1060</v>
      </c>
      <c r="G104" s="16" t="s">
        <v>2175</v>
      </c>
      <c r="H104" s="42" t="s">
        <v>1106</v>
      </c>
      <c r="I104" s="94" t="s">
        <v>1107</v>
      </c>
    </row>
    <row r="105" spans="1:9">
      <c r="A105" s="15">
        <v>324</v>
      </c>
      <c r="B105" s="16" t="s">
        <v>1766</v>
      </c>
      <c r="C105" s="16" t="s">
        <v>1525</v>
      </c>
      <c r="D105" s="38" t="s">
        <v>1201</v>
      </c>
      <c r="E105" s="38" t="s">
        <v>1080</v>
      </c>
      <c r="F105" s="38" t="s">
        <v>1060</v>
      </c>
      <c r="G105" s="16" t="s">
        <v>2176</v>
      </c>
      <c r="H105" s="42" t="s">
        <v>1081</v>
      </c>
      <c r="I105" s="94" t="s">
        <v>1082</v>
      </c>
    </row>
    <row r="106" spans="1:9">
      <c r="A106" s="15">
        <v>3</v>
      </c>
      <c r="B106" s="16" t="s">
        <v>416</v>
      </c>
      <c r="C106" s="16" t="s">
        <v>1343</v>
      </c>
      <c r="D106" s="38" t="s">
        <v>1201</v>
      </c>
      <c r="E106" s="38" t="s">
        <v>417</v>
      </c>
      <c r="F106" s="38" t="s">
        <v>368</v>
      </c>
      <c r="G106" s="16" t="s">
        <v>418</v>
      </c>
      <c r="H106" s="42" t="s">
        <v>419</v>
      </c>
      <c r="I106" s="94" t="s">
        <v>420</v>
      </c>
    </row>
    <row r="107" spans="1:9">
      <c r="A107" s="15">
        <v>26</v>
      </c>
      <c r="B107" s="16" t="s">
        <v>411</v>
      </c>
      <c r="C107" s="16" t="s">
        <v>1342</v>
      </c>
      <c r="D107" s="38" t="s">
        <v>1201</v>
      </c>
      <c r="E107" s="38" t="s">
        <v>412</v>
      </c>
      <c r="F107" s="38" t="s">
        <v>368</v>
      </c>
      <c r="G107" s="16" t="s">
        <v>413</v>
      </c>
      <c r="H107" s="42" t="s">
        <v>414</v>
      </c>
      <c r="I107" s="93" t="s">
        <v>415</v>
      </c>
    </row>
    <row r="108" spans="1:9">
      <c r="A108" s="15">
        <v>37</v>
      </c>
      <c r="B108" s="16" t="s">
        <v>457</v>
      </c>
      <c r="C108" s="16" t="s">
        <v>1353</v>
      </c>
      <c r="D108" s="38" t="s">
        <v>1201</v>
      </c>
      <c r="E108" s="38" t="s">
        <v>458</v>
      </c>
      <c r="F108" s="38" t="s">
        <v>368</v>
      </c>
      <c r="G108" s="16" t="s">
        <v>459</v>
      </c>
      <c r="H108" s="42" t="s">
        <v>460</v>
      </c>
      <c r="I108" s="94" t="s">
        <v>461</v>
      </c>
    </row>
    <row r="109" spans="1:9">
      <c r="A109" s="15">
        <v>48</v>
      </c>
      <c r="B109" s="16" t="s">
        <v>442</v>
      </c>
      <c r="C109" s="16" t="s">
        <v>1349</v>
      </c>
      <c r="D109" s="38" t="s">
        <v>1201</v>
      </c>
      <c r="E109" s="38" t="s">
        <v>443</v>
      </c>
      <c r="F109" s="38" t="s">
        <v>368</v>
      </c>
      <c r="G109" s="16" t="s">
        <v>2177</v>
      </c>
      <c r="H109" s="42" t="s">
        <v>444</v>
      </c>
      <c r="I109" s="94" t="s">
        <v>445</v>
      </c>
    </row>
    <row r="110" spans="1:9">
      <c r="A110" s="15">
        <v>56</v>
      </c>
      <c r="B110" s="16" t="s">
        <v>375</v>
      </c>
      <c r="C110" s="16" t="s">
        <v>1333</v>
      </c>
      <c r="D110" s="38" t="s">
        <v>1201</v>
      </c>
      <c r="E110" s="38" t="s">
        <v>376</v>
      </c>
      <c r="F110" s="38" t="s">
        <v>368</v>
      </c>
      <c r="G110" s="16" t="s">
        <v>377</v>
      </c>
      <c r="H110" s="42" t="s">
        <v>378</v>
      </c>
      <c r="I110" s="94" t="s">
        <v>379</v>
      </c>
    </row>
    <row r="111" spans="1:9">
      <c r="A111" s="15">
        <v>59</v>
      </c>
      <c r="B111" s="16" t="s">
        <v>424</v>
      </c>
      <c r="C111" s="16" t="s">
        <v>1345</v>
      </c>
      <c r="D111" s="38" t="s">
        <v>1201</v>
      </c>
      <c r="E111" s="38" t="s">
        <v>425</v>
      </c>
      <c r="F111" s="38" t="s">
        <v>368</v>
      </c>
      <c r="G111" s="16" t="s">
        <v>426</v>
      </c>
      <c r="H111" s="42" t="s">
        <v>427</v>
      </c>
      <c r="I111" s="94" t="s">
        <v>428</v>
      </c>
    </row>
    <row r="112" spans="1:9">
      <c r="A112" s="15">
        <v>76</v>
      </c>
      <c r="B112" s="16" t="s">
        <v>429</v>
      </c>
      <c r="C112" s="16" t="s">
        <v>1346</v>
      </c>
      <c r="D112" s="38" t="s">
        <v>1201</v>
      </c>
      <c r="E112" s="38" t="s">
        <v>430</v>
      </c>
      <c r="F112" s="38" t="s">
        <v>368</v>
      </c>
      <c r="G112" s="16" t="s">
        <v>431</v>
      </c>
      <c r="H112" s="42" t="s">
        <v>432</v>
      </c>
      <c r="I112" s="93" t="s">
        <v>433</v>
      </c>
    </row>
    <row r="113" spans="1:9">
      <c r="A113" s="15">
        <v>77</v>
      </c>
      <c r="B113" s="16" t="s">
        <v>476</v>
      </c>
      <c r="C113" s="16" t="s">
        <v>1358</v>
      </c>
      <c r="D113" s="38" t="s">
        <v>1201</v>
      </c>
      <c r="E113" s="38" t="s">
        <v>477</v>
      </c>
      <c r="F113" s="38" t="s">
        <v>368</v>
      </c>
      <c r="G113" s="16" t="s">
        <v>478</v>
      </c>
      <c r="H113" s="42" t="s">
        <v>479</v>
      </c>
      <c r="I113" s="94" t="s">
        <v>480</v>
      </c>
    </row>
    <row r="114" spans="1:9">
      <c r="A114" s="15">
        <v>78</v>
      </c>
      <c r="B114" s="16" t="s">
        <v>406</v>
      </c>
      <c r="C114" s="16" t="s">
        <v>1341</v>
      </c>
      <c r="D114" s="38" t="s">
        <v>1201</v>
      </c>
      <c r="E114" s="38" t="s">
        <v>407</v>
      </c>
      <c r="F114" s="38" t="s">
        <v>368</v>
      </c>
      <c r="G114" s="16" t="s">
        <v>408</v>
      </c>
      <c r="H114" s="42" t="s">
        <v>409</v>
      </c>
      <c r="I114" s="94" t="s">
        <v>410</v>
      </c>
    </row>
    <row r="115" spans="1:9">
      <c r="A115" s="15">
        <v>81</v>
      </c>
      <c r="B115" s="16" t="s">
        <v>1659</v>
      </c>
      <c r="C115" s="16" t="s">
        <v>1354</v>
      </c>
      <c r="D115" s="38" t="s">
        <v>1201</v>
      </c>
      <c r="E115" s="38" t="s">
        <v>462</v>
      </c>
      <c r="F115" s="38" t="s">
        <v>368</v>
      </c>
      <c r="G115" s="16" t="s">
        <v>2178</v>
      </c>
      <c r="H115" s="42" t="s">
        <v>463</v>
      </c>
      <c r="I115" s="94" t="s">
        <v>464</v>
      </c>
    </row>
    <row r="116" spans="1:9">
      <c r="A116" s="15">
        <v>85</v>
      </c>
      <c r="B116" s="16" t="s">
        <v>446</v>
      </c>
      <c r="C116" s="16" t="s">
        <v>1350</v>
      </c>
      <c r="D116" s="38" t="s">
        <v>1201</v>
      </c>
      <c r="E116" s="38" t="s">
        <v>447</v>
      </c>
      <c r="F116" s="38" t="s">
        <v>368</v>
      </c>
      <c r="G116" s="16" t="s">
        <v>2179</v>
      </c>
      <c r="H116" s="42" t="s">
        <v>448</v>
      </c>
      <c r="I116" s="94" t="s">
        <v>449</v>
      </c>
    </row>
    <row r="117" spans="1:9" ht="14.25" thickBot="1">
      <c r="A117" s="18">
        <v>87</v>
      </c>
      <c r="B117" s="19" t="s">
        <v>437</v>
      </c>
      <c r="C117" s="19" t="s">
        <v>1348</v>
      </c>
      <c r="D117" s="48" t="s">
        <v>1201</v>
      </c>
      <c r="E117" s="48" t="s">
        <v>438</v>
      </c>
      <c r="F117" s="48" t="s">
        <v>368</v>
      </c>
      <c r="G117" s="19" t="s">
        <v>439</v>
      </c>
      <c r="H117" s="49" t="s">
        <v>440</v>
      </c>
      <c r="I117" s="97" t="s">
        <v>441</v>
      </c>
    </row>
    <row r="118" spans="1:9">
      <c r="A118" s="21">
        <v>113</v>
      </c>
      <c r="B118" s="22" t="s">
        <v>390</v>
      </c>
      <c r="C118" s="22" t="s">
        <v>1337</v>
      </c>
      <c r="D118" s="50" t="s">
        <v>1201</v>
      </c>
      <c r="E118" s="50" t="s">
        <v>391</v>
      </c>
      <c r="F118" s="50" t="s">
        <v>368</v>
      </c>
      <c r="G118" s="22" t="s">
        <v>392</v>
      </c>
      <c r="H118" s="51" t="s">
        <v>393</v>
      </c>
      <c r="I118" s="98" t="s">
        <v>394</v>
      </c>
    </row>
    <row r="119" spans="1:9">
      <c r="A119" s="15">
        <v>123</v>
      </c>
      <c r="B119" s="16" t="s">
        <v>398</v>
      </c>
      <c r="C119" s="16" t="s">
        <v>1339</v>
      </c>
      <c r="D119" s="38" t="s">
        <v>1201</v>
      </c>
      <c r="E119" s="38" t="s">
        <v>399</v>
      </c>
      <c r="F119" s="38" t="s">
        <v>368</v>
      </c>
      <c r="G119" s="16" t="s">
        <v>400</v>
      </c>
      <c r="H119" s="42" t="s">
        <v>401</v>
      </c>
      <c r="I119" s="94" t="s">
        <v>402</v>
      </c>
    </row>
    <row r="120" spans="1:9">
      <c r="A120" s="15">
        <v>124</v>
      </c>
      <c r="B120" s="16" t="s">
        <v>366</v>
      </c>
      <c r="C120" s="16" t="s">
        <v>1331</v>
      </c>
      <c r="D120" s="38" t="s">
        <v>1201</v>
      </c>
      <c r="E120" s="38" t="s">
        <v>367</v>
      </c>
      <c r="F120" s="38" t="s">
        <v>368</v>
      </c>
      <c r="G120" s="16" t="s">
        <v>369</v>
      </c>
      <c r="H120" s="42" t="s">
        <v>370</v>
      </c>
      <c r="I120" s="93" t="s">
        <v>371</v>
      </c>
    </row>
    <row r="121" spans="1:9">
      <c r="A121" s="17">
        <v>130</v>
      </c>
      <c r="B121" s="23" t="s">
        <v>380</v>
      </c>
      <c r="C121" s="23" t="s">
        <v>1334</v>
      </c>
      <c r="D121" s="45" t="s">
        <v>1201</v>
      </c>
      <c r="E121" s="45" t="s">
        <v>381</v>
      </c>
      <c r="F121" s="45" t="s">
        <v>368</v>
      </c>
      <c r="G121" s="23" t="s">
        <v>2180</v>
      </c>
      <c r="H121" s="46" t="s">
        <v>382</v>
      </c>
      <c r="I121" s="99" t="s">
        <v>383</v>
      </c>
    </row>
    <row r="122" spans="1:9">
      <c r="A122" s="17">
        <v>135</v>
      </c>
      <c r="B122" s="23" t="s">
        <v>453</v>
      </c>
      <c r="C122" s="23" t="s">
        <v>1352</v>
      </c>
      <c r="D122" s="45" t="s">
        <v>1201</v>
      </c>
      <c r="E122" s="45" t="s">
        <v>454</v>
      </c>
      <c r="F122" s="45" t="s">
        <v>368</v>
      </c>
      <c r="G122" s="23" t="s">
        <v>2181</v>
      </c>
      <c r="H122" s="46" t="s">
        <v>455</v>
      </c>
      <c r="I122" s="100" t="s">
        <v>456</v>
      </c>
    </row>
    <row r="123" spans="1:9">
      <c r="A123" s="15">
        <v>139</v>
      </c>
      <c r="B123" s="16" t="s">
        <v>465</v>
      </c>
      <c r="C123" s="16" t="s">
        <v>1355</v>
      </c>
      <c r="D123" s="38" t="s">
        <v>1201</v>
      </c>
      <c r="E123" s="38" t="s">
        <v>466</v>
      </c>
      <c r="F123" s="38" t="s">
        <v>368</v>
      </c>
      <c r="G123" s="16" t="s">
        <v>467</v>
      </c>
      <c r="H123" s="42" t="s">
        <v>468</v>
      </c>
      <c r="I123" s="94" t="s">
        <v>469</v>
      </c>
    </row>
    <row r="124" spans="1:9">
      <c r="A124" s="13">
        <v>164</v>
      </c>
      <c r="B124" s="20" t="s">
        <v>1660</v>
      </c>
      <c r="C124" s="20" t="s">
        <v>1356</v>
      </c>
      <c r="D124" s="40" t="s">
        <v>1201</v>
      </c>
      <c r="E124" s="40" t="s">
        <v>470</v>
      </c>
      <c r="F124" s="40" t="s">
        <v>368</v>
      </c>
      <c r="G124" s="20" t="s">
        <v>2182</v>
      </c>
      <c r="H124" s="41" t="s">
        <v>471</v>
      </c>
      <c r="I124" s="96" t="s">
        <v>472</v>
      </c>
    </row>
    <row r="125" spans="1:9">
      <c r="A125" s="15">
        <v>176</v>
      </c>
      <c r="B125" s="16" t="s">
        <v>1655</v>
      </c>
      <c r="C125" s="16" t="s">
        <v>1340</v>
      </c>
      <c r="D125" s="38" t="s">
        <v>1201</v>
      </c>
      <c r="E125" s="38" t="s">
        <v>403</v>
      </c>
      <c r="F125" s="38" t="s">
        <v>368</v>
      </c>
      <c r="G125" s="16" t="s">
        <v>2183</v>
      </c>
      <c r="H125" s="42" t="s">
        <v>404</v>
      </c>
      <c r="I125" s="93" t="s">
        <v>405</v>
      </c>
    </row>
    <row r="126" spans="1:9">
      <c r="A126" s="15">
        <v>187</v>
      </c>
      <c r="B126" s="16" t="s">
        <v>1661</v>
      </c>
      <c r="C126" s="16" t="s">
        <v>1357</v>
      </c>
      <c r="D126" s="38" t="s">
        <v>1201</v>
      </c>
      <c r="E126" s="38" t="s">
        <v>473</v>
      </c>
      <c r="F126" s="38" t="s">
        <v>368</v>
      </c>
      <c r="G126" s="16" t="s">
        <v>2184</v>
      </c>
      <c r="H126" s="42" t="s">
        <v>474</v>
      </c>
      <c r="I126" s="93" t="s">
        <v>475</v>
      </c>
    </row>
    <row r="127" spans="1:9">
      <c r="A127" s="15">
        <v>202</v>
      </c>
      <c r="B127" s="16" t="s">
        <v>1653</v>
      </c>
      <c r="C127" s="16" t="s">
        <v>1336</v>
      </c>
      <c r="D127" s="38" t="s">
        <v>1201</v>
      </c>
      <c r="E127" s="38" t="s">
        <v>387</v>
      </c>
      <c r="F127" s="38" t="s">
        <v>368</v>
      </c>
      <c r="G127" s="16" t="s">
        <v>2185</v>
      </c>
      <c r="H127" s="42" t="s">
        <v>388</v>
      </c>
      <c r="I127" s="94" t="s">
        <v>389</v>
      </c>
    </row>
    <row r="128" spans="1:9">
      <c r="A128" s="15">
        <v>203</v>
      </c>
      <c r="B128" s="16" t="s">
        <v>1656</v>
      </c>
      <c r="C128" s="16" t="s">
        <v>1344</v>
      </c>
      <c r="D128" s="38" t="s">
        <v>1201</v>
      </c>
      <c r="E128" s="38" t="s">
        <v>421</v>
      </c>
      <c r="F128" s="38" t="s">
        <v>368</v>
      </c>
      <c r="G128" s="16" t="s">
        <v>2186</v>
      </c>
      <c r="H128" s="42" t="s">
        <v>422</v>
      </c>
      <c r="I128" s="94" t="s">
        <v>423</v>
      </c>
    </row>
    <row r="129" spans="1:9">
      <c r="A129" s="15">
        <v>211</v>
      </c>
      <c r="B129" s="16" t="s">
        <v>1651</v>
      </c>
      <c r="C129" s="16" t="s">
        <v>1332</v>
      </c>
      <c r="D129" s="38" t="s">
        <v>1201</v>
      </c>
      <c r="E129" s="38" t="s">
        <v>372</v>
      </c>
      <c r="F129" s="38" t="s">
        <v>368</v>
      </c>
      <c r="G129" s="16" t="s">
        <v>2187</v>
      </c>
      <c r="H129" s="42" t="s">
        <v>373</v>
      </c>
      <c r="I129" s="94" t="s">
        <v>374</v>
      </c>
    </row>
    <row r="130" spans="1:9">
      <c r="A130" s="15">
        <v>221</v>
      </c>
      <c r="B130" s="16" t="s">
        <v>1657</v>
      </c>
      <c r="C130" s="16" t="s">
        <v>1347</v>
      </c>
      <c r="D130" s="38" t="s">
        <v>1201</v>
      </c>
      <c r="E130" s="38" t="s">
        <v>434</v>
      </c>
      <c r="F130" s="38" t="s">
        <v>368</v>
      </c>
      <c r="G130" s="16" t="s">
        <v>2188</v>
      </c>
      <c r="H130" s="42" t="s">
        <v>435</v>
      </c>
      <c r="I130" s="94" t="s">
        <v>436</v>
      </c>
    </row>
    <row r="131" spans="1:9">
      <c r="A131" s="15">
        <v>222</v>
      </c>
      <c r="B131" s="16" t="s">
        <v>1654</v>
      </c>
      <c r="C131" s="16" t="s">
        <v>1338</v>
      </c>
      <c r="D131" s="38" t="s">
        <v>1201</v>
      </c>
      <c r="E131" s="38" t="s">
        <v>395</v>
      </c>
      <c r="F131" s="38" t="s">
        <v>368</v>
      </c>
      <c r="G131" s="16" t="s">
        <v>2189</v>
      </c>
      <c r="H131" s="42" t="s">
        <v>396</v>
      </c>
      <c r="I131" s="94" t="s">
        <v>397</v>
      </c>
    </row>
    <row r="132" spans="1:9">
      <c r="A132" s="15">
        <v>225</v>
      </c>
      <c r="B132" s="16" t="s">
        <v>1658</v>
      </c>
      <c r="C132" s="16" t="s">
        <v>1351</v>
      </c>
      <c r="D132" s="38" t="s">
        <v>1201</v>
      </c>
      <c r="E132" s="38" t="s">
        <v>450</v>
      </c>
      <c r="F132" s="38" t="s">
        <v>368</v>
      </c>
      <c r="G132" s="16" t="s">
        <v>2190</v>
      </c>
      <c r="H132" s="42" t="s">
        <v>451</v>
      </c>
      <c r="I132" s="94" t="s">
        <v>452</v>
      </c>
    </row>
    <row r="133" spans="1:9">
      <c r="A133" s="15">
        <v>228</v>
      </c>
      <c r="B133" s="16" t="s">
        <v>1662</v>
      </c>
      <c r="C133" s="16" t="s">
        <v>1359</v>
      </c>
      <c r="D133" s="38" t="s">
        <v>1201</v>
      </c>
      <c r="E133" s="38" t="s">
        <v>481</v>
      </c>
      <c r="F133" s="38" t="s">
        <v>368</v>
      </c>
      <c r="G133" s="16" t="s">
        <v>2191</v>
      </c>
      <c r="H133" s="42" t="s">
        <v>482</v>
      </c>
      <c r="I133" s="94" t="s">
        <v>483</v>
      </c>
    </row>
    <row r="134" spans="1:9">
      <c r="A134" s="15">
        <v>233</v>
      </c>
      <c r="B134" s="16" t="s">
        <v>1663</v>
      </c>
      <c r="C134" s="16" t="s">
        <v>1360</v>
      </c>
      <c r="D134" s="38" t="s">
        <v>1201</v>
      </c>
      <c r="E134" s="38" t="s">
        <v>2192</v>
      </c>
      <c r="F134" s="38" t="s">
        <v>368</v>
      </c>
      <c r="G134" s="16" t="s">
        <v>2193</v>
      </c>
      <c r="H134" s="42" t="s">
        <v>484</v>
      </c>
      <c r="I134" s="94" t="s">
        <v>485</v>
      </c>
    </row>
    <row r="135" spans="1:9">
      <c r="A135" s="15">
        <v>372</v>
      </c>
      <c r="B135" s="16" t="s">
        <v>1652</v>
      </c>
      <c r="C135" s="16" t="s">
        <v>1335</v>
      </c>
      <c r="D135" s="38" t="s">
        <v>1201</v>
      </c>
      <c r="E135" s="38" t="s">
        <v>384</v>
      </c>
      <c r="F135" s="38" t="s">
        <v>368</v>
      </c>
      <c r="G135" s="16" t="s">
        <v>2194</v>
      </c>
      <c r="H135" s="42" t="s">
        <v>385</v>
      </c>
      <c r="I135" s="94" t="s">
        <v>386</v>
      </c>
    </row>
    <row r="136" spans="1:9">
      <c r="A136" s="15">
        <v>396</v>
      </c>
      <c r="B136" s="16" t="s">
        <v>1664</v>
      </c>
      <c r="C136" s="16" t="s">
        <v>1361</v>
      </c>
      <c r="D136" s="38" t="s">
        <v>1201</v>
      </c>
      <c r="E136" s="38" t="s">
        <v>2195</v>
      </c>
      <c r="F136" s="38" t="s">
        <v>368</v>
      </c>
      <c r="G136" s="16" t="s">
        <v>2196</v>
      </c>
      <c r="H136" s="42" t="s">
        <v>2197</v>
      </c>
      <c r="I136" s="94" t="s">
        <v>2198</v>
      </c>
    </row>
    <row r="137" spans="1:9">
      <c r="A137" s="15">
        <v>140</v>
      </c>
      <c r="B137" s="16" t="s">
        <v>248</v>
      </c>
      <c r="C137" s="16" t="s">
        <v>1298</v>
      </c>
      <c r="D137" s="38" t="s">
        <v>1201</v>
      </c>
      <c r="E137" s="38" t="s">
        <v>249</v>
      </c>
      <c r="F137" s="38" t="s">
        <v>223</v>
      </c>
      <c r="G137" s="16" t="s">
        <v>250</v>
      </c>
      <c r="H137" s="42" t="s">
        <v>251</v>
      </c>
      <c r="I137" s="94" t="s">
        <v>252</v>
      </c>
    </row>
    <row r="138" spans="1:9">
      <c r="A138" s="15">
        <v>144</v>
      </c>
      <c r="B138" s="16" t="s">
        <v>235</v>
      </c>
      <c r="C138" s="16" t="s">
        <v>1294</v>
      </c>
      <c r="D138" s="38" t="s">
        <v>1201</v>
      </c>
      <c r="E138" s="38" t="s">
        <v>236</v>
      </c>
      <c r="F138" s="38" t="s">
        <v>223</v>
      </c>
      <c r="G138" s="16" t="s">
        <v>2199</v>
      </c>
      <c r="H138" s="42" t="s">
        <v>237</v>
      </c>
      <c r="I138" s="94" t="s">
        <v>238</v>
      </c>
    </row>
    <row r="139" spans="1:9">
      <c r="A139" s="15">
        <v>268</v>
      </c>
      <c r="B139" s="16" t="s">
        <v>1627</v>
      </c>
      <c r="C139" s="16" t="s">
        <v>1297</v>
      </c>
      <c r="D139" s="38" t="s">
        <v>1201</v>
      </c>
      <c r="E139" s="38" t="s">
        <v>245</v>
      </c>
      <c r="F139" s="38" t="s">
        <v>223</v>
      </c>
      <c r="G139" s="16" t="s">
        <v>2200</v>
      </c>
      <c r="H139" s="42" t="s">
        <v>246</v>
      </c>
      <c r="I139" s="93" t="s">
        <v>247</v>
      </c>
    </row>
    <row r="140" spans="1:9">
      <c r="A140" s="15">
        <v>281</v>
      </c>
      <c r="B140" s="16" t="s">
        <v>1621</v>
      </c>
      <c r="C140" s="16" t="s">
        <v>1290</v>
      </c>
      <c r="D140" s="38" t="s">
        <v>1201</v>
      </c>
      <c r="E140" s="38" t="s">
        <v>222</v>
      </c>
      <c r="F140" s="38" t="s">
        <v>223</v>
      </c>
      <c r="G140" s="16" t="s">
        <v>2201</v>
      </c>
      <c r="H140" s="42" t="s">
        <v>224</v>
      </c>
      <c r="I140" s="94" t="s">
        <v>225</v>
      </c>
    </row>
    <row r="141" spans="1:9">
      <c r="A141" s="15">
        <v>283</v>
      </c>
      <c r="B141" s="16" t="s">
        <v>1626</v>
      </c>
      <c r="C141" s="16" t="s">
        <v>1296</v>
      </c>
      <c r="D141" s="38" t="s">
        <v>1201</v>
      </c>
      <c r="E141" s="38" t="s">
        <v>242</v>
      </c>
      <c r="F141" s="38" t="s">
        <v>223</v>
      </c>
      <c r="G141" s="16" t="s">
        <v>2202</v>
      </c>
      <c r="H141" s="42" t="s">
        <v>243</v>
      </c>
      <c r="I141" s="94" t="s">
        <v>244</v>
      </c>
    </row>
    <row r="142" spans="1:9">
      <c r="A142" s="15">
        <v>284</v>
      </c>
      <c r="B142" s="16" t="s">
        <v>1628</v>
      </c>
      <c r="C142" s="16" t="s">
        <v>1299</v>
      </c>
      <c r="D142" s="38" t="s">
        <v>1201</v>
      </c>
      <c r="E142" s="38" t="s">
        <v>253</v>
      </c>
      <c r="F142" s="38" t="s">
        <v>223</v>
      </c>
      <c r="G142" s="16" t="s">
        <v>2203</v>
      </c>
      <c r="H142" s="42" t="s">
        <v>254</v>
      </c>
      <c r="I142" s="94" t="s">
        <v>255</v>
      </c>
    </row>
    <row r="143" spans="1:9">
      <c r="A143" s="15">
        <v>292</v>
      </c>
      <c r="B143" s="16" t="s">
        <v>1631</v>
      </c>
      <c r="C143" s="16" t="s">
        <v>1302</v>
      </c>
      <c r="D143" s="38" t="s">
        <v>1201</v>
      </c>
      <c r="E143" s="38" t="s">
        <v>262</v>
      </c>
      <c r="F143" s="38" t="s">
        <v>223</v>
      </c>
      <c r="G143" s="16" t="s">
        <v>2204</v>
      </c>
      <c r="H143" s="42" t="s">
        <v>263</v>
      </c>
      <c r="I143" s="94" t="s">
        <v>264</v>
      </c>
    </row>
    <row r="144" spans="1:9">
      <c r="A144" s="15">
        <v>323</v>
      </c>
      <c r="B144" s="16" t="s">
        <v>1632</v>
      </c>
      <c r="C144" s="16" t="s">
        <v>1303</v>
      </c>
      <c r="D144" s="38" t="s">
        <v>1201</v>
      </c>
      <c r="E144" s="38" t="s">
        <v>265</v>
      </c>
      <c r="F144" s="38" t="s">
        <v>223</v>
      </c>
      <c r="G144" s="16" t="s">
        <v>2205</v>
      </c>
      <c r="H144" s="42" t="s">
        <v>266</v>
      </c>
      <c r="I144" s="94" t="s">
        <v>267</v>
      </c>
    </row>
    <row r="145" spans="1:9">
      <c r="A145" s="15">
        <v>334</v>
      </c>
      <c r="B145" s="16" t="s">
        <v>1625</v>
      </c>
      <c r="C145" s="16" t="s">
        <v>1295</v>
      </c>
      <c r="D145" s="38" t="s">
        <v>1201</v>
      </c>
      <c r="E145" s="38" t="s">
        <v>239</v>
      </c>
      <c r="F145" s="38" t="s">
        <v>223</v>
      </c>
      <c r="G145" s="16" t="s">
        <v>2206</v>
      </c>
      <c r="H145" s="42" t="s">
        <v>240</v>
      </c>
      <c r="I145" s="94" t="s">
        <v>241</v>
      </c>
    </row>
    <row r="146" spans="1:9">
      <c r="A146" s="15">
        <v>336</v>
      </c>
      <c r="B146" s="16" t="s">
        <v>1630</v>
      </c>
      <c r="C146" s="16" t="s">
        <v>1301</v>
      </c>
      <c r="D146" s="38" t="s">
        <v>1201</v>
      </c>
      <c r="E146" s="38" t="s">
        <v>259</v>
      </c>
      <c r="F146" s="38" t="s">
        <v>223</v>
      </c>
      <c r="G146" s="16" t="s">
        <v>2207</v>
      </c>
      <c r="H146" s="42" t="s">
        <v>260</v>
      </c>
      <c r="I146" s="94" t="s">
        <v>261</v>
      </c>
    </row>
    <row r="147" spans="1:9">
      <c r="A147" s="15">
        <v>351</v>
      </c>
      <c r="B147" s="16" t="s">
        <v>1622</v>
      </c>
      <c r="C147" s="16" t="s">
        <v>1291</v>
      </c>
      <c r="D147" s="38" t="s">
        <v>1201</v>
      </c>
      <c r="E147" s="38" t="s">
        <v>226</v>
      </c>
      <c r="F147" s="38" t="s">
        <v>223</v>
      </c>
      <c r="G147" s="16" t="s">
        <v>2208</v>
      </c>
      <c r="H147" s="42" t="s">
        <v>227</v>
      </c>
      <c r="I147" s="94" t="s">
        <v>228</v>
      </c>
    </row>
    <row r="148" spans="1:9">
      <c r="A148" s="15">
        <v>362</v>
      </c>
      <c r="B148" s="16" t="s">
        <v>1623</v>
      </c>
      <c r="C148" s="16" t="s">
        <v>1292</v>
      </c>
      <c r="D148" s="38" t="s">
        <v>1201</v>
      </c>
      <c r="E148" s="38" t="s">
        <v>229</v>
      </c>
      <c r="F148" s="38" t="s">
        <v>223</v>
      </c>
      <c r="G148" s="16" t="s">
        <v>2209</v>
      </c>
      <c r="H148" s="42" t="s">
        <v>230</v>
      </c>
      <c r="I148" s="94" t="s">
        <v>231</v>
      </c>
    </row>
    <row r="149" spans="1:9">
      <c r="A149" s="15">
        <v>374</v>
      </c>
      <c r="B149" s="16" t="s">
        <v>1629</v>
      </c>
      <c r="C149" s="16" t="s">
        <v>1300</v>
      </c>
      <c r="D149" s="38" t="s">
        <v>1201</v>
      </c>
      <c r="E149" s="38" t="s">
        <v>256</v>
      </c>
      <c r="F149" s="38" t="s">
        <v>223</v>
      </c>
      <c r="G149" s="16" t="s">
        <v>2210</v>
      </c>
      <c r="H149" s="42" t="s">
        <v>257</v>
      </c>
      <c r="I149" s="101" t="s">
        <v>258</v>
      </c>
    </row>
    <row r="150" spans="1:9">
      <c r="A150" s="15">
        <v>380</v>
      </c>
      <c r="B150" s="16" t="s">
        <v>1624</v>
      </c>
      <c r="C150" s="16" t="s">
        <v>1293</v>
      </c>
      <c r="D150" s="38" t="s">
        <v>1201</v>
      </c>
      <c r="E150" s="38" t="s">
        <v>232</v>
      </c>
      <c r="F150" s="38" t="s">
        <v>223</v>
      </c>
      <c r="G150" s="16" t="s">
        <v>2211</v>
      </c>
      <c r="H150" s="42" t="s">
        <v>233</v>
      </c>
      <c r="I150" s="94" t="s">
        <v>234</v>
      </c>
    </row>
    <row r="151" spans="1:9">
      <c r="A151" s="15">
        <v>405</v>
      </c>
      <c r="B151" s="16" t="s">
        <v>2212</v>
      </c>
      <c r="C151" s="16" t="s">
        <v>2213</v>
      </c>
      <c r="D151" s="38" t="s">
        <v>1201</v>
      </c>
      <c r="E151" s="38" t="s">
        <v>2214</v>
      </c>
      <c r="F151" s="38" t="s">
        <v>223</v>
      </c>
      <c r="G151" s="16" t="s">
        <v>2215</v>
      </c>
      <c r="H151" s="42" t="s">
        <v>2216</v>
      </c>
      <c r="I151" s="94" t="s">
        <v>2217</v>
      </c>
    </row>
    <row r="152" spans="1:9">
      <c r="A152" s="15">
        <v>410</v>
      </c>
      <c r="B152" s="14" t="s">
        <v>2055</v>
      </c>
      <c r="C152" s="14" t="s">
        <v>1811</v>
      </c>
      <c r="D152" s="38" t="s">
        <v>1201</v>
      </c>
      <c r="E152" s="39" t="s">
        <v>1817</v>
      </c>
      <c r="F152" s="38" t="s">
        <v>223</v>
      </c>
      <c r="G152" s="14" t="s">
        <v>1818</v>
      </c>
      <c r="H152" s="42" t="s">
        <v>1819</v>
      </c>
      <c r="I152" s="93" t="s">
        <v>1820</v>
      </c>
    </row>
    <row r="153" spans="1:9">
      <c r="A153" s="15">
        <v>55</v>
      </c>
      <c r="B153" s="16" t="s">
        <v>208</v>
      </c>
      <c r="C153" s="16" t="s">
        <v>1286</v>
      </c>
      <c r="D153" s="38" t="s">
        <v>1201</v>
      </c>
      <c r="E153" s="38" t="s">
        <v>209</v>
      </c>
      <c r="F153" s="38" t="s">
        <v>189</v>
      </c>
      <c r="G153" s="16" t="s">
        <v>210</v>
      </c>
      <c r="H153" s="42" t="s">
        <v>211</v>
      </c>
      <c r="I153" s="94" t="s">
        <v>212</v>
      </c>
    </row>
    <row r="154" spans="1:9">
      <c r="A154" s="15">
        <v>127</v>
      </c>
      <c r="B154" s="16" t="s">
        <v>192</v>
      </c>
      <c r="C154" s="16" t="s">
        <v>1281</v>
      </c>
      <c r="D154" s="38" t="s">
        <v>1201</v>
      </c>
      <c r="E154" s="38" t="s">
        <v>193</v>
      </c>
      <c r="F154" s="38" t="s">
        <v>189</v>
      </c>
      <c r="G154" s="16" t="s">
        <v>2218</v>
      </c>
      <c r="H154" s="42" t="s">
        <v>194</v>
      </c>
      <c r="I154" s="94" t="s">
        <v>195</v>
      </c>
    </row>
    <row r="155" spans="1:9">
      <c r="A155" s="15">
        <v>149</v>
      </c>
      <c r="B155" s="16" t="s">
        <v>1616</v>
      </c>
      <c r="C155" s="16" t="s">
        <v>1284</v>
      </c>
      <c r="D155" s="38" t="s">
        <v>1201</v>
      </c>
      <c r="E155" s="38" t="s">
        <v>202</v>
      </c>
      <c r="F155" s="38" t="s">
        <v>189</v>
      </c>
      <c r="G155" s="16" t="s">
        <v>2219</v>
      </c>
      <c r="H155" s="42" t="s">
        <v>203</v>
      </c>
      <c r="I155" s="93" t="s">
        <v>204</v>
      </c>
    </row>
    <row r="156" spans="1:9">
      <c r="A156" s="15">
        <v>160</v>
      </c>
      <c r="B156" s="16" t="s">
        <v>1614</v>
      </c>
      <c r="C156" s="16" t="s">
        <v>1282</v>
      </c>
      <c r="D156" s="38" t="s">
        <v>1201</v>
      </c>
      <c r="E156" s="38" t="s">
        <v>196</v>
      </c>
      <c r="F156" s="38" t="s">
        <v>189</v>
      </c>
      <c r="G156" s="16" t="s">
        <v>2220</v>
      </c>
      <c r="H156" s="42" t="s">
        <v>197</v>
      </c>
      <c r="I156" s="93" t="s">
        <v>198</v>
      </c>
    </row>
    <row r="157" spans="1:9">
      <c r="A157" s="15">
        <v>161</v>
      </c>
      <c r="B157" s="16" t="s">
        <v>1613</v>
      </c>
      <c r="C157" s="16" t="s">
        <v>1280</v>
      </c>
      <c r="D157" s="38" t="s">
        <v>1201</v>
      </c>
      <c r="E157" s="38" t="s">
        <v>188</v>
      </c>
      <c r="F157" s="38" t="s">
        <v>189</v>
      </c>
      <c r="G157" s="16" t="s">
        <v>2221</v>
      </c>
      <c r="H157" s="42" t="s">
        <v>190</v>
      </c>
      <c r="I157" s="93" t="s">
        <v>191</v>
      </c>
    </row>
    <row r="158" spans="1:9">
      <c r="A158" s="15">
        <v>216</v>
      </c>
      <c r="B158" s="16" t="s">
        <v>1620</v>
      </c>
      <c r="C158" s="16" t="s">
        <v>1289</v>
      </c>
      <c r="D158" s="38" t="s">
        <v>1201</v>
      </c>
      <c r="E158" s="38" t="s">
        <v>219</v>
      </c>
      <c r="F158" s="38" t="s">
        <v>189</v>
      </c>
      <c r="G158" s="16" t="s">
        <v>2222</v>
      </c>
      <c r="H158" s="42" t="s">
        <v>220</v>
      </c>
      <c r="I158" s="94" t="s">
        <v>221</v>
      </c>
    </row>
    <row r="159" spans="1:9">
      <c r="A159" s="15">
        <v>352</v>
      </c>
      <c r="B159" s="24" t="s">
        <v>1615</v>
      </c>
      <c r="C159" s="24" t="s">
        <v>1283</v>
      </c>
      <c r="D159" s="38" t="s">
        <v>1201</v>
      </c>
      <c r="E159" s="38" t="s">
        <v>199</v>
      </c>
      <c r="F159" s="38" t="s">
        <v>189</v>
      </c>
      <c r="G159" s="16" t="s">
        <v>2223</v>
      </c>
      <c r="H159" s="42" t="s">
        <v>200</v>
      </c>
      <c r="I159" s="94" t="s">
        <v>201</v>
      </c>
    </row>
    <row r="160" spans="1:9">
      <c r="A160" s="15">
        <v>355</v>
      </c>
      <c r="B160" s="16" t="s">
        <v>1619</v>
      </c>
      <c r="C160" s="16" t="s">
        <v>1288</v>
      </c>
      <c r="D160" s="38" t="s">
        <v>1201</v>
      </c>
      <c r="E160" s="38" t="s">
        <v>216</v>
      </c>
      <c r="F160" s="38" t="s">
        <v>189</v>
      </c>
      <c r="G160" s="16" t="s">
        <v>2224</v>
      </c>
      <c r="H160" s="42" t="s">
        <v>217</v>
      </c>
      <c r="I160" s="94" t="s">
        <v>218</v>
      </c>
    </row>
    <row r="161" spans="1:9">
      <c r="A161" s="15">
        <v>379</v>
      </c>
      <c r="B161" s="16" t="s">
        <v>1618</v>
      </c>
      <c r="C161" s="16" t="s">
        <v>1287</v>
      </c>
      <c r="D161" s="38" t="s">
        <v>1201</v>
      </c>
      <c r="E161" s="38" t="s">
        <v>213</v>
      </c>
      <c r="F161" s="38" t="s">
        <v>189</v>
      </c>
      <c r="G161" s="16" t="s">
        <v>2225</v>
      </c>
      <c r="H161" s="42" t="s">
        <v>214</v>
      </c>
      <c r="I161" s="94" t="s">
        <v>215</v>
      </c>
    </row>
    <row r="162" spans="1:9">
      <c r="A162" s="15">
        <v>381</v>
      </c>
      <c r="B162" s="16" t="s">
        <v>1617</v>
      </c>
      <c r="C162" s="16" t="s">
        <v>1285</v>
      </c>
      <c r="D162" s="38" t="s">
        <v>1201</v>
      </c>
      <c r="E162" s="38" t="s">
        <v>205</v>
      </c>
      <c r="F162" s="38" t="s">
        <v>189</v>
      </c>
      <c r="G162" s="16" t="s">
        <v>2226</v>
      </c>
      <c r="H162" s="42" t="s">
        <v>206</v>
      </c>
      <c r="I162" s="94" t="s">
        <v>207</v>
      </c>
    </row>
    <row r="163" spans="1:9">
      <c r="A163" s="15">
        <v>75</v>
      </c>
      <c r="B163" s="16" t="s">
        <v>296</v>
      </c>
      <c r="C163" s="16" t="s">
        <v>1312</v>
      </c>
      <c r="D163" s="38" t="s">
        <v>1201</v>
      </c>
      <c r="E163" s="38" t="s">
        <v>297</v>
      </c>
      <c r="F163" s="38" t="s">
        <v>268</v>
      </c>
      <c r="G163" s="16" t="s">
        <v>298</v>
      </c>
      <c r="H163" s="42" t="s">
        <v>299</v>
      </c>
      <c r="I163" s="94" t="s">
        <v>300</v>
      </c>
    </row>
    <row r="164" spans="1:9">
      <c r="A164" s="15">
        <v>80</v>
      </c>
      <c r="B164" s="16" t="s">
        <v>326</v>
      </c>
      <c r="C164" s="16" t="s">
        <v>1320</v>
      </c>
      <c r="D164" s="38" t="s">
        <v>1201</v>
      </c>
      <c r="E164" s="38" t="s">
        <v>327</v>
      </c>
      <c r="F164" s="38" t="s">
        <v>268</v>
      </c>
      <c r="G164" s="16" t="s">
        <v>328</v>
      </c>
      <c r="H164" s="42" t="s">
        <v>329</v>
      </c>
      <c r="I164" s="94" t="s">
        <v>330</v>
      </c>
    </row>
    <row r="165" spans="1:9">
      <c r="A165" s="15">
        <v>84</v>
      </c>
      <c r="B165" s="16" t="s">
        <v>331</v>
      </c>
      <c r="C165" s="16" t="s">
        <v>1321</v>
      </c>
      <c r="D165" s="38" t="s">
        <v>1201</v>
      </c>
      <c r="E165" s="38" t="s">
        <v>332</v>
      </c>
      <c r="F165" s="38" t="s">
        <v>268</v>
      </c>
      <c r="G165" s="16" t="s">
        <v>333</v>
      </c>
      <c r="H165" s="42" t="s">
        <v>334</v>
      </c>
      <c r="I165" s="94" t="s">
        <v>335</v>
      </c>
    </row>
    <row r="166" spans="1:9">
      <c r="A166" s="15">
        <v>93</v>
      </c>
      <c r="B166" s="16" t="s">
        <v>275</v>
      </c>
      <c r="C166" s="16" t="s">
        <v>1306</v>
      </c>
      <c r="D166" s="38" t="s">
        <v>1201</v>
      </c>
      <c r="E166" s="38" t="s">
        <v>276</v>
      </c>
      <c r="F166" s="38" t="s">
        <v>268</v>
      </c>
      <c r="G166" s="16" t="s">
        <v>277</v>
      </c>
      <c r="H166" s="42" t="s">
        <v>278</v>
      </c>
      <c r="I166" s="94" t="s">
        <v>279</v>
      </c>
    </row>
    <row r="167" spans="1:9">
      <c r="A167" s="15">
        <v>94</v>
      </c>
      <c r="B167" s="16" t="s">
        <v>339</v>
      </c>
      <c r="C167" s="16" t="s">
        <v>1323</v>
      </c>
      <c r="D167" s="38" t="s">
        <v>1201</v>
      </c>
      <c r="E167" s="38" t="s">
        <v>340</v>
      </c>
      <c r="F167" s="38" t="s">
        <v>268</v>
      </c>
      <c r="G167" s="16" t="s">
        <v>2227</v>
      </c>
      <c r="H167" s="42" t="s">
        <v>341</v>
      </c>
      <c r="I167" s="94" t="s">
        <v>342</v>
      </c>
    </row>
    <row r="168" spans="1:9">
      <c r="A168" s="15">
        <v>117</v>
      </c>
      <c r="B168" s="16" t="s">
        <v>358</v>
      </c>
      <c r="C168" s="16" t="s">
        <v>1329</v>
      </c>
      <c r="D168" s="38" t="s">
        <v>1201</v>
      </c>
      <c r="E168" s="38" t="s">
        <v>359</v>
      </c>
      <c r="F168" s="38" t="s">
        <v>268</v>
      </c>
      <c r="G168" s="16" t="s">
        <v>360</v>
      </c>
      <c r="H168" s="42" t="s">
        <v>361</v>
      </c>
      <c r="I168" s="94" t="s">
        <v>362</v>
      </c>
    </row>
    <row r="169" spans="1:9">
      <c r="A169" s="15">
        <v>120</v>
      </c>
      <c r="B169" s="16" t="s">
        <v>286</v>
      </c>
      <c r="C169" s="16" t="s">
        <v>1309</v>
      </c>
      <c r="D169" s="38" t="s">
        <v>1201</v>
      </c>
      <c r="E169" s="38" t="s">
        <v>287</v>
      </c>
      <c r="F169" s="38" t="s">
        <v>268</v>
      </c>
      <c r="G169" s="16" t="s">
        <v>2228</v>
      </c>
      <c r="H169" s="42" t="s">
        <v>288</v>
      </c>
      <c r="I169" s="94" t="s">
        <v>289</v>
      </c>
    </row>
    <row r="170" spans="1:9">
      <c r="A170" s="17">
        <v>122</v>
      </c>
      <c r="B170" s="16" t="s">
        <v>304</v>
      </c>
      <c r="C170" s="16" t="s">
        <v>1314</v>
      </c>
      <c r="D170" s="38" t="s">
        <v>1201</v>
      </c>
      <c r="E170" s="38" t="s">
        <v>305</v>
      </c>
      <c r="F170" s="38" t="s">
        <v>268</v>
      </c>
      <c r="G170" s="16" t="s">
        <v>306</v>
      </c>
      <c r="H170" s="42" t="s">
        <v>307</v>
      </c>
      <c r="I170" s="94" t="s">
        <v>308</v>
      </c>
    </row>
    <row r="171" spans="1:9">
      <c r="A171" s="15">
        <v>142</v>
      </c>
      <c r="B171" s="16" t="s">
        <v>321</v>
      </c>
      <c r="C171" s="16" t="s">
        <v>1319</v>
      </c>
      <c r="D171" s="38" t="s">
        <v>1201</v>
      </c>
      <c r="E171" s="38" t="s">
        <v>322</v>
      </c>
      <c r="F171" s="38" t="s">
        <v>268</v>
      </c>
      <c r="G171" s="16" t="s">
        <v>323</v>
      </c>
      <c r="H171" s="42" t="s">
        <v>324</v>
      </c>
      <c r="I171" s="93" t="s">
        <v>325</v>
      </c>
    </row>
    <row r="172" spans="1:9">
      <c r="A172" s="17">
        <v>153</v>
      </c>
      <c r="B172" s="16" t="s">
        <v>1647</v>
      </c>
      <c r="C172" s="16" t="s">
        <v>1326</v>
      </c>
      <c r="D172" s="38" t="s">
        <v>1201</v>
      </c>
      <c r="E172" s="38" t="s">
        <v>349</v>
      </c>
      <c r="F172" s="38" t="s">
        <v>268</v>
      </c>
      <c r="G172" s="16" t="s">
        <v>2229</v>
      </c>
      <c r="H172" s="42" t="s">
        <v>350</v>
      </c>
      <c r="I172" s="94" t="s">
        <v>351</v>
      </c>
    </row>
    <row r="173" spans="1:9">
      <c r="A173" s="15">
        <v>166</v>
      </c>
      <c r="B173" s="16" t="s">
        <v>1646</v>
      </c>
      <c r="C173" s="16" t="s">
        <v>1325</v>
      </c>
      <c r="D173" s="38" t="s">
        <v>1201</v>
      </c>
      <c r="E173" s="38" t="s">
        <v>346</v>
      </c>
      <c r="F173" s="38" t="s">
        <v>268</v>
      </c>
      <c r="G173" s="16" t="s">
        <v>2230</v>
      </c>
      <c r="H173" s="42" t="s">
        <v>347</v>
      </c>
      <c r="I173" s="94" t="s">
        <v>348</v>
      </c>
    </row>
    <row r="174" spans="1:9">
      <c r="A174" s="15">
        <v>188</v>
      </c>
      <c r="B174" s="16" t="s">
        <v>1638</v>
      </c>
      <c r="C174" s="16" t="s">
        <v>1311</v>
      </c>
      <c r="D174" s="38" t="s">
        <v>1201</v>
      </c>
      <c r="E174" s="38" t="s">
        <v>293</v>
      </c>
      <c r="F174" s="38" t="s">
        <v>268</v>
      </c>
      <c r="G174" s="16" t="s">
        <v>2231</v>
      </c>
      <c r="H174" s="42" t="s">
        <v>294</v>
      </c>
      <c r="I174" s="94" t="s">
        <v>295</v>
      </c>
    </row>
    <row r="175" spans="1:9">
      <c r="A175" s="25">
        <v>195</v>
      </c>
      <c r="B175" s="23" t="s">
        <v>1640</v>
      </c>
      <c r="C175" s="23" t="s">
        <v>1315</v>
      </c>
      <c r="D175" s="45" t="s">
        <v>1201</v>
      </c>
      <c r="E175" s="38" t="s">
        <v>309</v>
      </c>
      <c r="F175" s="38" t="s">
        <v>268</v>
      </c>
      <c r="G175" s="16" t="s">
        <v>2232</v>
      </c>
      <c r="H175" s="42" t="s">
        <v>310</v>
      </c>
      <c r="I175" s="94" t="s">
        <v>311</v>
      </c>
    </row>
    <row r="176" spans="1:9">
      <c r="A176" s="25">
        <v>198</v>
      </c>
      <c r="B176" s="16" t="s">
        <v>1637</v>
      </c>
      <c r="C176" s="23" t="s">
        <v>1310</v>
      </c>
      <c r="D176" s="45" t="s">
        <v>1201</v>
      </c>
      <c r="E176" s="45" t="s">
        <v>290</v>
      </c>
      <c r="F176" s="45" t="s">
        <v>268</v>
      </c>
      <c r="G176" s="23" t="s">
        <v>2233</v>
      </c>
      <c r="H176" s="46" t="s">
        <v>291</v>
      </c>
      <c r="I176" s="99" t="s">
        <v>292</v>
      </c>
    </row>
    <row r="177" spans="1:9">
      <c r="A177" s="25">
        <v>200</v>
      </c>
      <c r="B177" s="16" t="s">
        <v>1634</v>
      </c>
      <c r="C177" s="16" t="s">
        <v>1305</v>
      </c>
      <c r="D177" s="38" t="s">
        <v>1201</v>
      </c>
      <c r="E177" s="38" t="s">
        <v>272</v>
      </c>
      <c r="F177" s="38" t="s">
        <v>268</v>
      </c>
      <c r="G177" s="16" t="s">
        <v>2234</v>
      </c>
      <c r="H177" s="42" t="s">
        <v>273</v>
      </c>
      <c r="I177" s="94" t="s">
        <v>274</v>
      </c>
    </row>
    <row r="178" spans="1:9">
      <c r="A178" s="15">
        <v>226</v>
      </c>
      <c r="B178" s="16" t="s">
        <v>1636</v>
      </c>
      <c r="C178" s="23" t="s">
        <v>1308</v>
      </c>
      <c r="D178" s="45" t="s">
        <v>1201</v>
      </c>
      <c r="E178" s="45" t="s">
        <v>283</v>
      </c>
      <c r="F178" s="45" t="s">
        <v>268</v>
      </c>
      <c r="G178" s="23" t="s">
        <v>2235</v>
      </c>
      <c r="H178" s="46" t="s">
        <v>284</v>
      </c>
      <c r="I178" s="96" t="s">
        <v>285</v>
      </c>
    </row>
    <row r="179" spans="1:9" ht="14.25" thickBot="1">
      <c r="A179" s="26">
        <v>229</v>
      </c>
      <c r="B179" s="19" t="s">
        <v>1645</v>
      </c>
      <c r="C179" s="19" t="s">
        <v>1324</v>
      </c>
      <c r="D179" s="48" t="s">
        <v>1201</v>
      </c>
      <c r="E179" s="48" t="s">
        <v>343</v>
      </c>
      <c r="F179" s="48" t="s">
        <v>268</v>
      </c>
      <c r="G179" s="19" t="s">
        <v>2236</v>
      </c>
      <c r="H179" s="49" t="s">
        <v>344</v>
      </c>
      <c r="I179" s="95" t="s">
        <v>345</v>
      </c>
    </row>
    <row r="180" spans="1:9">
      <c r="A180" s="11">
        <v>240</v>
      </c>
      <c r="B180" s="12" t="s">
        <v>1641</v>
      </c>
      <c r="C180" s="12" t="s">
        <v>1316</v>
      </c>
      <c r="D180" s="36" t="s">
        <v>1201</v>
      </c>
      <c r="E180" s="36" t="s">
        <v>312</v>
      </c>
      <c r="F180" s="36" t="s">
        <v>268</v>
      </c>
      <c r="G180" s="12" t="s">
        <v>2237</v>
      </c>
      <c r="H180" s="37" t="s">
        <v>313</v>
      </c>
      <c r="I180" s="102" t="s">
        <v>314</v>
      </c>
    </row>
    <row r="181" spans="1:9">
      <c r="A181" s="25">
        <v>243</v>
      </c>
      <c r="B181" s="27" t="s">
        <v>1633</v>
      </c>
      <c r="C181" s="27" t="s">
        <v>1304</v>
      </c>
      <c r="D181" s="52" t="s">
        <v>1201</v>
      </c>
      <c r="E181" s="52" t="s">
        <v>269</v>
      </c>
      <c r="F181" s="52" t="s">
        <v>268</v>
      </c>
      <c r="G181" s="27" t="s">
        <v>2238</v>
      </c>
      <c r="H181" s="53" t="s">
        <v>270</v>
      </c>
      <c r="I181" s="103" t="s">
        <v>271</v>
      </c>
    </row>
    <row r="182" spans="1:9">
      <c r="A182" s="28">
        <v>274</v>
      </c>
      <c r="B182" s="16" t="s">
        <v>1643</v>
      </c>
      <c r="C182" s="16" t="s">
        <v>1318</v>
      </c>
      <c r="D182" s="38" t="s">
        <v>1201</v>
      </c>
      <c r="E182" s="38" t="s">
        <v>318</v>
      </c>
      <c r="F182" s="38" t="s">
        <v>268</v>
      </c>
      <c r="G182" s="16" t="s">
        <v>2239</v>
      </c>
      <c r="H182" s="42" t="s">
        <v>319</v>
      </c>
      <c r="I182" s="94" t="s">
        <v>320</v>
      </c>
    </row>
    <row r="183" spans="1:9">
      <c r="A183" s="15">
        <v>289</v>
      </c>
      <c r="B183" s="16" t="s">
        <v>1635</v>
      </c>
      <c r="C183" s="16" t="s">
        <v>1307</v>
      </c>
      <c r="D183" s="38" t="s">
        <v>1201</v>
      </c>
      <c r="E183" s="38" t="s">
        <v>280</v>
      </c>
      <c r="F183" s="38" t="s">
        <v>268</v>
      </c>
      <c r="G183" s="16" t="s">
        <v>2240</v>
      </c>
      <c r="H183" s="42" t="s">
        <v>281</v>
      </c>
      <c r="I183" s="94" t="s">
        <v>282</v>
      </c>
    </row>
    <row r="184" spans="1:9">
      <c r="A184" s="17">
        <v>298</v>
      </c>
      <c r="B184" s="23" t="s">
        <v>1644</v>
      </c>
      <c r="C184" s="23" t="s">
        <v>1322</v>
      </c>
      <c r="D184" s="45" t="s">
        <v>1201</v>
      </c>
      <c r="E184" s="45" t="s">
        <v>336</v>
      </c>
      <c r="F184" s="45" t="s">
        <v>268</v>
      </c>
      <c r="G184" s="23" t="s">
        <v>2241</v>
      </c>
      <c r="H184" s="46" t="s">
        <v>337</v>
      </c>
      <c r="I184" s="100" t="s">
        <v>338</v>
      </c>
    </row>
    <row r="185" spans="1:9">
      <c r="A185" s="15">
        <v>300</v>
      </c>
      <c r="B185" s="16" t="s">
        <v>1650</v>
      </c>
      <c r="C185" s="16" t="s">
        <v>1330</v>
      </c>
      <c r="D185" s="38" t="s">
        <v>1201</v>
      </c>
      <c r="E185" s="38" t="s">
        <v>363</v>
      </c>
      <c r="F185" s="38" t="s">
        <v>268</v>
      </c>
      <c r="G185" s="16" t="s">
        <v>2242</v>
      </c>
      <c r="H185" s="42" t="s">
        <v>364</v>
      </c>
      <c r="I185" s="94" t="s">
        <v>365</v>
      </c>
    </row>
    <row r="186" spans="1:9">
      <c r="A186" s="15">
        <v>342</v>
      </c>
      <c r="B186" s="16" t="s">
        <v>1648</v>
      </c>
      <c r="C186" s="16" t="s">
        <v>1327</v>
      </c>
      <c r="D186" s="38" t="s">
        <v>1201</v>
      </c>
      <c r="E186" s="38" t="s">
        <v>352</v>
      </c>
      <c r="F186" s="38" t="s">
        <v>268</v>
      </c>
      <c r="G186" s="16" t="s">
        <v>2243</v>
      </c>
      <c r="H186" s="42" t="s">
        <v>353</v>
      </c>
      <c r="I186" s="93" t="s">
        <v>354</v>
      </c>
    </row>
    <row r="187" spans="1:9">
      <c r="A187" s="13">
        <v>360</v>
      </c>
      <c r="B187" s="20" t="s">
        <v>1642</v>
      </c>
      <c r="C187" s="20" t="s">
        <v>1317</v>
      </c>
      <c r="D187" s="40" t="s">
        <v>1201</v>
      </c>
      <c r="E187" s="40" t="s">
        <v>315</v>
      </c>
      <c r="F187" s="40" t="s">
        <v>268</v>
      </c>
      <c r="G187" s="20" t="s">
        <v>2244</v>
      </c>
      <c r="H187" s="41" t="s">
        <v>316</v>
      </c>
      <c r="I187" s="96" t="s">
        <v>317</v>
      </c>
    </row>
    <row r="188" spans="1:9">
      <c r="A188" s="15">
        <v>364</v>
      </c>
      <c r="B188" s="16" t="s">
        <v>1649</v>
      </c>
      <c r="C188" s="16" t="s">
        <v>1328</v>
      </c>
      <c r="D188" s="38" t="s">
        <v>1201</v>
      </c>
      <c r="E188" s="38" t="s">
        <v>355</v>
      </c>
      <c r="F188" s="38" t="s">
        <v>268</v>
      </c>
      <c r="G188" s="16" t="s">
        <v>2245</v>
      </c>
      <c r="H188" s="42" t="s">
        <v>356</v>
      </c>
      <c r="I188" s="94" t="s">
        <v>357</v>
      </c>
    </row>
    <row r="189" spans="1:9">
      <c r="A189" s="15">
        <v>389</v>
      </c>
      <c r="B189" s="16" t="s">
        <v>1639</v>
      </c>
      <c r="C189" s="16" t="s">
        <v>1313</v>
      </c>
      <c r="D189" s="38" t="s">
        <v>1201</v>
      </c>
      <c r="E189" s="38" t="s">
        <v>301</v>
      </c>
      <c r="F189" s="38" t="s">
        <v>268</v>
      </c>
      <c r="G189" s="16" t="s">
        <v>2246</v>
      </c>
      <c r="H189" s="42" t="s">
        <v>302</v>
      </c>
      <c r="I189" s="94" t="s">
        <v>303</v>
      </c>
    </row>
    <row r="190" spans="1:9">
      <c r="A190" s="15">
        <v>411</v>
      </c>
      <c r="B190" s="16" t="s">
        <v>1821</v>
      </c>
      <c r="C190" s="16" t="s">
        <v>1822</v>
      </c>
      <c r="D190" s="38" t="s">
        <v>1201</v>
      </c>
      <c r="E190" s="38" t="s">
        <v>1823</v>
      </c>
      <c r="F190" s="38" t="s">
        <v>268</v>
      </c>
      <c r="G190" s="16" t="s">
        <v>1824</v>
      </c>
      <c r="H190" s="42" t="s">
        <v>1825</v>
      </c>
      <c r="I190" s="94" t="s">
        <v>1826</v>
      </c>
    </row>
    <row r="191" spans="1:9">
      <c r="A191" s="15">
        <v>297</v>
      </c>
      <c r="B191" s="16" t="s">
        <v>1667</v>
      </c>
      <c r="C191" s="16" t="s">
        <v>1365</v>
      </c>
      <c r="D191" s="38" t="s">
        <v>1201</v>
      </c>
      <c r="E191" s="38" t="s">
        <v>494</v>
      </c>
      <c r="F191" s="38" t="s">
        <v>495</v>
      </c>
      <c r="G191" s="16" t="s">
        <v>2247</v>
      </c>
      <c r="H191" s="42" t="s">
        <v>496</v>
      </c>
      <c r="I191" s="93" t="s">
        <v>497</v>
      </c>
    </row>
    <row r="192" spans="1:9">
      <c r="A192" s="15">
        <v>28</v>
      </c>
      <c r="B192" s="23" t="s">
        <v>940</v>
      </c>
      <c r="C192" s="23" t="s">
        <v>1487</v>
      </c>
      <c r="D192" s="45" t="s">
        <v>1201</v>
      </c>
      <c r="E192" s="38" t="s">
        <v>941</v>
      </c>
      <c r="F192" s="38" t="s">
        <v>908</v>
      </c>
      <c r="G192" s="16" t="s">
        <v>2248</v>
      </c>
      <c r="H192" s="42" t="s">
        <v>942</v>
      </c>
      <c r="I192" s="94" t="s">
        <v>943</v>
      </c>
    </row>
    <row r="193" spans="1:9">
      <c r="A193" s="15">
        <v>70</v>
      </c>
      <c r="B193" s="16" t="s">
        <v>906</v>
      </c>
      <c r="C193" s="16" t="s">
        <v>1477</v>
      </c>
      <c r="D193" s="38" t="s">
        <v>1201</v>
      </c>
      <c r="E193" s="38" t="s">
        <v>907</v>
      </c>
      <c r="F193" s="38" t="s">
        <v>908</v>
      </c>
      <c r="G193" s="16" t="s">
        <v>2249</v>
      </c>
      <c r="H193" s="42" t="s">
        <v>909</v>
      </c>
      <c r="I193" s="93" t="s">
        <v>910</v>
      </c>
    </row>
    <row r="194" spans="1:9">
      <c r="A194" s="15">
        <v>74</v>
      </c>
      <c r="B194" s="16" t="s">
        <v>951</v>
      </c>
      <c r="C194" s="16" t="s">
        <v>1490</v>
      </c>
      <c r="D194" s="38" t="s">
        <v>1201</v>
      </c>
      <c r="E194" s="38" t="s">
        <v>952</v>
      </c>
      <c r="F194" s="38" t="s">
        <v>908</v>
      </c>
      <c r="G194" s="16" t="s">
        <v>953</v>
      </c>
      <c r="H194" s="42" t="s">
        <v>954</v>
      </c>
      <c r="I194" s="94" t="s">
        <v>955</v>
      </c>
    </row>
    <row r="195" spans="1:9">
      <c r="A195" s="15">
        <v>91</v>
      </c>
      <c r="B195" s="23" t="s">
        <v>911</v>
      </c>
      <c r="C195" s="23" t="s">
        <v>1478</v>
      </c>
      <c r="D195" s="45" t="s">
        <v>1201</v>
      </c>
      <c r="E195" s="45" t="s">
        <v>912</v>
      </c>
      <c r="F195" s="45" t="s">
        <v>908</v>
      </c>
      <c r="G195" s="16" t="s">
        <v>2250</v>
      </c>
      <c r="H195" s="42" t="s">
        <v>913</v>
      </c>
      <c r="I195" s="94" t="s">
        <v>914</v>
      </c>
    </row>
    <row r="196" spans="1:9">
      <c r="A196" s="15">
        <v>98</v>
      </c>
      <c r="B196" s="16" t="s">
        <v>915</v>
      </c>
      <c r="C196" s="16" t="s">
        <v>1479</v>
      </c>
      <c r="D196" s="38" t="s">
        <v>1201</v>
      </c>
      <c r="E196" s="38" t="s">
        <v>916</v>
      </c>
      <c r="F196" s="38" t="s">
        <v>908</v>
      </c>
      <c r="G196" s="16" t="s">
        <v>2251</v>
      </c>
      <c r="H196" s="42" t="s">
        <v>917</v>
      </c>
      <c r="I196" s="94" t="s">
        <v>918</v>
      </c>
    </row>
    <row r="197" spans="1:9">
      <c r="A197" s="15">
        <v>99</v>
      </c>
      <c r="B197" s="16" t="s">
        <v>965</v>
      </c>
      <c r="C197" s="16" t="s">
        <v>1494</v>
      </c>
      <c r="D197" s="38" t="s">
        <v>1201</v>
      </c>
      <c r="E197" s="38" t="s">
        <v>966</v>
      </c>
      <c r="F197" s="38" t="s">
        <v>908</v>
      </c>
      <c r="G197" s="16" t="s">
        <v>967</v>
      </c>
      <c r="H197" s="42" t="s">
        <v>968</v>
      </c>
      <c r="I197" s="94" t="s">
        <v>969</v>
      </c>
    </row>
    <row r="198" spans="1:9">
      <c r="A198" s="15">
        <v>101</v>
      </c>
      <c r="B198" s="16" t="s">
        <v>979</v>
      </c>
      <c r="C198" s="16" t="s">
        <v>1498</v>
      </c>
      <c r="D198" s="38" t="s">
        <v>1201</v>
      </c>
      <c r="E198" s="38" t="s">
        <v>980</v>
      </c>
      <c r="F198" s="38" t="s">
        <v>908</v>
      </c>
      <c r="G198" s="16" t="s">
        <v>981</v>
      </c>
      <c r="H198" s="42" t="s">
        <v>982</v>
      </c>
      <c r="I198" s="93" t="s">
        <v>983</v>
      </c>
    </row>
    <row r="199" spans="1:9">
      <c r="A199" s="15">
        <v>104</v>
      </c>
      <c r="B199" s="16" t="s">
        <v>944</v>
      </c>
      <c r="C199" s="23" t="s">
        <v>1488</v>
      </c>
      <c r="D199" s="45" t="s">
        <v>1201</v>
      </c>
      <c r="E199" s="45" t="s">
        <v>945</v>
      </c>
      <c r="F199" s="45" t="s">
        <v>908</v>
      </c>
      <c r="G199" s="16" t="s">
        <v>2252</v>
      </c>
      <c r="H199" s="42" t="s">
        <v>946</v>
      </c>
      <c r="I199" s="94" t="s">
        <v>947</v>
      </c>
    </row>
    <row r="200" spans="1:9">
      <c r="A200" s="15">
        <v>145</v>
      </c>
      <c r="B200" s="16" t="s">
        <v>1747</v>
      </c>
      <c r="C200" s="16" t="s">
        <v>1493</v>
      </c>
      <c r="D200" s="38" t="s">
        <v>1201</v>
      </c>
      <c r="E200" s="38" t="s">
        <v>962</v>
      </c>
      <c r="F200" s="38" t="s">
        <v>908</v>
      </c>
      <c r="G200" s="16" t="s">
        <v>2253</v>
      </c>
      <c r="H200" s="42" t="s">
        <v>963</v>
      </c>
      <c r="I200" s="94" t="s">
        <v>964</v>
      </c>
    </row>
    <row r="201" spans="1:9">
      <c r="A201" s="15">
        <v>150</v>
      </c>
      <c r="B201" s="16" t="s">
        <v>1742</v>
      </c>
      <c r="C201" s="16" t="s">
        <v>1485</v>
      </c>
      <c r="D201" s="38" t="s">
        <v>1201</v>
      </c>
      <c r="E201" s="38" t="s">
        <v>934</v>
      </c>
      <c r="F201" s="38" t="s">
        <v>908</v>
      </c>
      <c r="G201" s="16" t="s">
        <v>2254</v>
      </c>
      <c r="H201" s="42" t="s">
        <v>935</v>
      </c>
      <c r="I201" s="94" t="s">
        <v>936</v>
      </c>
    </row>
    <row r="202" spans="1:9">
      <c r="A202" s="15">
        <v>162</v>
      </c>
      <c r="B202" s="23" t="s">
        <v>1744</v>
      </c>
      <c r="C202" s="23" t="s">
        <v>1489</v>
      </c>
      <c r="D202" s="45" t="s">
        <v>1201</v>
      </c>
      <c r="E202" s="45" t="s">
        <v>948</v>
      </c>
      <c r="F202" s="45" t="s">
        <v>908</v>
      </c>
      <c r="G202" s="16" t="s">
        <v>2255</v>
      </c>
      <c r="H202" s="42" t="s">
        <v>949</v>
      </c>
      <c r="I202" s="93" t="s">
        <v>950</v>
      </c>
    </row>
    <row r="203" spans="1:9">
      <c r="A203" s="15">
        <v>173</v>
      </c>
      <c r="B203" s="16" t="s">
        <v>1746</v>
      </c>
      <c r="C203" s="16" t="s">
        <v>1492</v>
      </c>
      <c r="D203" s="38" t="s">
        <v>1201</v>
      </c>
      <c r="E203" s="38" t="s">
        <v>959</v>
      </c>
      <c r="F203" s="38" t="s">
        <v>908</v>
      </c>
      <c r="G203" s="16" t="s">
        <v>2256</v>
      </c>
      <c r="H203" s="42" t="s">
        <v>960</v>
      </c>
      <c r="I203" s="94" t="s">
        <v>961</v>
      </c>
    </row>
    <row r="204" spans="1:9">
      <c r="A204" s="15">
        <v>214</v>
      </c>
      <c r="B204" s="16" t="s">
        <v>1751</v>
      </c>
      <c r="C204" s="16" t="s">
        <v>1499</v>
      </c>
      <c r="D204" s="38" t="s">
        <v>1201</v>
      </c>
      <c r="E204" s="38" t="s">
        <v>984</v>
      </c>
      <c r="F204" s="38" t="s">
        <v>908</v>
      </c>
      <c r="G204" s="16" t="s">
        <v>2257</v>
      </c>
      <c r="H204" s="42" t="s">
        <v>985</v>
      </c>
      <c r="I204" s="93" t="s">
        <v>986</v>
      </c>
    </row>
    <row r="205" spans="1:9">
      <c r="A205" s="15">
        <v>227</v>
      </c>
      <c r="B205" s="16" t="s">
        <v>1752</v>
      </c>
      <c r="C205" s="16" t="s">
        <v>1500</v>
      </c>
      <c r="D205" s="38" t="s">
        <v>1201</v>
      </c>
      <c r="E205" s="38" t="s">
        <v>987</v>
      </c>
      <c r="F205" s="38" t="s">
        <v>908</v>
      </c>
      <c r="G205" s="16" t="s">
        <v>2258</v>
      </c>
      <c r="H205" s="42" t="s">
        <v>988</v>
      </c>
      <c r="I205" s="94" t="s">
        <v>989</v>
      </c>
    </row>
    <row r="206" spans="1:9">
      <c r="A206" s="15">
        <v>236</v>
      </c>
      <c r="B206" s="16" t="s">
        <v>1739</v>
      </c>
      <c r="C206" s="16" t="s">
        <v>1482</v>
      </c>
      <c r="D206" s="38" t="s">
        <v>1201</v>
      </c>
      <c r="E206" s="38" t="s">
        <v>925</v>
      </c>
      <c r="F206" s="38" t="s">
        <v>908</v>
      </c>
      <c r="G206" s="16" t="s">
        <v>2259</v>
      </c>
      <c r="H206" s="42" t="s">
        <v>926</v>
      </c>
      <c r="I206" s="93" t="s">
        <v>927</v>
      </c>
    </row>
    <row r="207" spans="1:9">
      <c r="A207" s="15">
        <v>253</v>
      </c>
      <c r="B207" s="23" t="s">
        <v>1753</v>
      </c>
      <c r="C207" s="23" t="s">
        <v>1501</v>
      </c>
      <c r="D207" s="45" t="s">
        <v>1201</v>
      </c>
      <c r="E207" s="45" t="s">
        <v>990</v>
      </c>
      <c r="F207" s="45" t="s">
        <v>908</v>
      </c>
      <c r="G207" s="16" t="s">
        <v>2260</v>
      </c>
      <c r="H207" s="42" t="s">
        <v>991</v>
      </c>
      <c r="I207" s="93" t="s">
        <v>992</v>
      </c>
    </row>
    <row r="208" spans="1:9">
      <c r="A208" s="15">
        <v>269</v>
      </c>
      <c r="B208" s="16" t="s">
        <v>1748</v>
      </c>
      <c r="C208" s="16" t="s">
        <v>1495</v>
      </c>
      <c r="D208" s="38" t="s">
        <v>1201</v>
      </c>
      <c r="E208" s="38" t="s">
        <v>970</v>
      </c>
      <c r="F208" s="38" t="s">
        <v>908</v>
      </c>
      <c r="G208" s="16" t="s">
        <v>2261</v>
      </c>
      <c r="H208" s="42" t="s">
        <v>971</v>
      </c>
      <c r="I208" s="94" t="s">
        <v>972</v>
      </c>
    </row>
    <row r="209" spans="1:9">
      <c r="A209" s="15">
        <v>270</v>
      </c>
      <c r="B209" s="16" t="s">
        <v>1738</v>
      </c>
      <c r="C209" s="16" t="s">
        <v>1481</v>
      </c>
      <c r="D209" s="38" t="s">
        <v>1201</v>
      </c>
      <c r="E209" s="38" t="s">
        <v>922</v>
      </c>
      <c r="F209" s="38" t="s">
        <v>908</v>
      </c>
      <c r="G209" s="16" t="s">
        <v>2262</v>
      </c>
      <c r="H209" s="42" t="s">
        <v>923</v>
      </c>
      <c r="I209" s="94" t="s">
        <v>924</v>
      </c>
    </row>
    <row r="210" spans="1:9">
      <c r="A210" s="15">
        <v>290</v>
      </c>
      <c r="B210" s="16" t="s">
        <v>1741</v>
      </c>
      <c r="C210" s="16" t="s">
        <v>1484</v>
      </c>
      <c r="D210" s="38" t="s">
        <v>1201</v>
      </c>
      <c r="E210" s="38" t="s">
        <v>931</v>
      </c>
      <c r="F210" s="38" t="s">
        <v>908</v>
      </c>
      <c r="G210" s="16" t="s">
        <v>2263</v>
      </c>
      <c r="H210" s="42" t="s">
        <v>932</v>
      </c>
      <c r="I210" s="94" t="s">
        <v>933</v>
      </c>
    </row>
    <row r="211" spans="1:9">
      <c r="A211" s="15">
        <v>308</v>
      </c>
      <c r="B211" s="16" t="s">
        <v>1750</v>
      </c>
      <c r="C211" s="16" t="s">
        <v>1497</v>
      </c>
      <c r="D211" s="38" t="s">
        <v>1201</v>
      </c>
      <c r="E211" s="38" t="s">
        <v>976</v>
      </c>
      <c r="F211" s="38" t="s">
        <v>908</v>
      </c>
      <c r="G211" s="16" t="s">
        <v>2264</v>
      </c>
      <c r="H211" s="42" t="s">
        <v>977</v>
      </c>
      <c r="I211" s="94" t="s">
        <v>978</v>
      </c>
    </row>
    <row r="212" spans="1:9">
      <c r="A212" s="15">
        <v>311</v>
      </c>
      <c r="B212" s="16" t="s">
        <v>1749</v>
      </c>
      <c r="C212" s="16" t="s">
        <v>1496</v>
      </c>
      <c r="D212" s="38" t="s">
        <v>1201</v>
      </c>
      <c r="E212" s="38" t="s">
        <v>973</v>
      </c>
      <c r="F212" s="38" t="s">
        <v>908</v>
      </c>
      <c r="G212" s="16" t="s">
        <v>2265</v>
      </c>
      <c r="H212" s="42" t="s">
        <v>974</v>
      </c>
      <c r="I212" s="94" t="s">
        <v>975</v>
      </c>
    </row>
    <row r="213" spans="1:9">
      <c r="A213" s="15">
        <v>325</v>
      </c>
      <c r="B213" s="16" t="s">
        <v>1743</v>
      </c>
      <c r="C213" s="23" t="s">
        <v>1486</v>
      </c>
      <c r="D213" s="45" t="s">
        <v>1201</v>
      </c>
      <c r="E213" s="45" t="s">
        <v>937</v>
      </c>
      <c r="F213" s="45" t="s">
        <v>908</v>
      </c>
      <c r="G213" s="16" t="s">
        <v>2266</v>
      </c>
      <c r="H213" s="42" t="s">
        <v>938</v>
      </c>
      <c r="I213" s="94" t="s">
        <v>939</v>
      </c>
    </row>
    <row r="214" spans="1:9">
      <c r="A214" s="15">
        <v>326</v>
      </c>
      <c r="B214" s="16" t="s">
        <v>1745</v>
      </c>
      <c r="C214" s="16" t="s">
        <v>1491</v>
      </c>
      <c r="D214" s="38" t="s">
        <v>1201</v>
      </c>
      <c r="E214" s="38" t="s">
        <v>956</v>
      </c>
      <c r="F214" s="38" t="s">
        <v>908</v>
      </c>
      <c r="G214" s="16" t="s">
        <v>2267</v>
      </c>
      <c r="H214" s="42" t="s">
        <v>957</v>
      </c>
      <c r="I214" s="94" t="s">
        <v>958</v>
      </c>
    </row>
    <row r="215" spans="1:9">
      <c r="A215" s="15">
        <v>338</v>
      </c>
      <c r="B215" s="16" t="s">
        <v>1737</v>
      </c>
      <c r="C215" s="16" t="s">
        <v>1480</v>
      </c>
      <c r="D215" s="38" t="s">
        <v>1201</v>
      </c>
      <c r="E215" s="38" t="s">
        <v>919</v>
      </c>
      <c r="F215" s="38" t="s">
        <v>908</v>
      </c>
      <c r="G215" s="16" t="s">
        <v>2268</v>
      </c>
      <c r="H215" s="42" t="s">
        <v>920</v>
      </c>
      <c r="I215" s="94" t="s">
        <v>921</v>
      </c>
    </row>
    <row r="216" spans="1:9">
      <c r="A216" s="28">
        <v>354</v>
      </c>
      <c r="B216" s="29" t="s">
        <v>1740</v>
      </c>
      <c r="C216" s="67" t="s">
        <v>1483</v>
      </c>
      <c r="D216" s="54" t="s">
        <v>1201</v>
      </c>
      <c r="E216" s="54" t="s">
        <v>928</v>
      </c>
      <c r="F216" s="54" t="s">
        <v>908</v>
      </c>
      <c r="G216" s="29" t="s">
        <v>2269</v>
      </c>
      <c r="H216" s="43" t="s">
        <v>929</v>
      </c>
      <c r="I216" s="104" t="s">
        <v>930</v>
      </c>
    </row>
    <row r="217" spans="1:9">
      <c r="A217" s="15">
        <v>366</v>
      </c>
      <c r="B217" s="16" t="s">
        <v>1755</v>
      </c>
      <c r="C217" s="16" t="s">
        <v>1503</v>
      </c>
      <c r="D217" s="38" t="s">
        <v>1201</v>
      </c>
      <c r="E217" s="38" t="s">
        <v>996</v>
      </c>
      <c r="F217" s="38" t="s">
        <v>908</v>
      </c>
      <c r="G217" s="16" t="s">
        <v>2270</v>
      </c>
      <c r="H217" s="42" t="s">
        <v>997</v>
      </c>
      <c r="I217" s="93" t="s">
        <v>998</v>
      </c>
    </row>
    <row r="218" spans="1:9">
      <c r="A218" s="15">
        <v>378</v>
      </c>
      <c r="B218" s="16" t="s">
        <v>1754</v>
      </c>
      <c r="C218" s="16" t="s">
        <v>1502</v>
      </c>
      <c r="D218" s="38" t="s">
        <v>1201</v>
      </c>
      <c r="E218" s="38" t="s">
        <v>993</v>
      </c>
      <c r="F218" s="38" t="s">
        <v>908</v>
      </c>
      <c r="G218" s="16" t="s">
        <v>2271</v>
      </c>
      <c r="H218" s="42" t="s">
        <v>994</v>
      </c>
      <c r="I218" s="94" t="s">
        <v>995</v>
      </c>
    </row>
    <row r="219" spans="1:9">
      <c r="A219" s="15">
        <v>400</v>
      </c>
      <c r="B219" s="16" t="s">
        <v>1756</v>
      </c>
      <c r="C219" s="23" t="s">
        <v>1504</v>
      </c>
      <c r="D219" s="45" t="s">
        <v>1201</v>
      </c>
      <c r="E219" s="45" t="s">
        <v>2272</v>
      </c>
      <c r="F219" s="45" t="s">
        <v>908</v>
      </c>
      <c r="G219" s="16" t="s">
        <v>2273</v>
      </c>
      <c r="H219" s="42" t="s">
        <v>2274</v>
      </c>
      <c r="I219" s="93" t="s">
        <v>2275</v>
      </c>
    </row>
    <row r="220" spans="1:9">
      <c r="A220" s="15">
        <v>7</v>
      </c>
      <c r="B220" s="16" t="s">
        <v>756</v>
      </c>
      <c r="C220" s="23" t="s">
        <v>1435</v>
      </c>
      <c r="D220" s="45" t="s">
        <v>1201</v>
      </c>
      <c r="E220" s="45" t="s">
        <v>757</v>
      </c>
      <c r="F220" s="45" t="s">
        <v>499</v>
      </c>
      <c r="G220" s="16" t="s">
        <v>2276</v>
      </c>
      <c r="H220" s="42" t="s">
        <v>758</v>
      </c>
      <c r="I220" s="94" t="s">
        <v>759</v>
      </c>
    </row>
    <row r="221" spans="1:9">
      <c r="A221" s="15">
        <v>17</v>
      </c>
      <c r="B221" s="16" t="s">
        <v>691</v>
      </c>
      <c r="C221" s="16" t="s">
        <v>1417</v>
      </c>
      <c r="D221" s="38" t="s">
        <v>1201</v>
      </c>
      <c r="E221" s="38" t="s">
        <v>692</v>
      </c>
      <c r="F221" s="38" t="s">
        <v>499</v>
      </c>
      <c r="G221" s="16" t="s">
        <v>693</v>
      </c>
      <c r="H221" s="42" t="s">
        <v>694</v>
      </c>
      <c r="I221" s="94" t="s">
        <v>695</v>
      </c>
    </row>
    <row r="222" spans="1:9">
      <c r="A222" s="15">
        <v>24</v>
      </c>
      <c r="B222" s="16" t="s">
        <v>2277</v>
      </c>
      <c r="C222" s="16" t="s">
        <v>2278</v>
      </c>
      <c r="D222" s="38" t="s">
        <v>1201</v>
      </c>
      <c r="E222" s="38" t="s">
        <v>2279</v>
      </c>
      <c r="F222" s="38" t="s">
        <v>499</v>
      </c>
      <c r="G222" s="16" t="s">
        <v>2280</v>
      </c>
      <c r="H222" s="42" t="s">
        <v>2281</v>
      </c>
      <c r="I222" s="93" t="s">
        <v>2282</v>
      </c>
    </row>
    <row r="223" spans="1:9">
      <c r="A223" s="15">
        <v>27</v>
      </c>
      <c r="B223" s="16" t="s">
        <v>556</v>
      </c>
      <c r="C223" s="16" t="s">
        <v>1381</v>
      </c>
      <c r="D223" s="38" t="s">
        <v>1201</v>
      </c>
      <c r="E223" s="38" t="s">
        <v>557</v>
      </c>
      <c r="F223" s="38" t="s">
        <v>499</v>
      </c>
      <c r="G223" s="16" t="s">
        <v>558</v>
      </c>
      <c r="H223" s="42" t="s">
        <v>559</v>
      </c>
      <c r="I223" s="94" t="s">
        <v>560</v>
      </c>
    </row>
    <row r="224" spans="1:9">
      <c r="A224" s="15">
        <v>30</v>
      </c>
      <c r="B224" s="16" t="s">
        <v>612</v>
      </c>
      <c r="C224" s="16" t="s">
        <v>1396</v>
      </c>
      <c r="D224" s="38" t="s">
        <v>1201</v>
      </c>
      <c r="E224" s="38" t="s">
        <v>613</v>
      </c>
      <c r="F224" s="38" t="s">
        <v>499</v>
      </c>
      <c r="G224" s="16" t="s">
        <v>614</v>
      </c>
      <c r="H224" s="42" t="s">
        <v>615</v>
      </c>
      <c r="I224" s="94" t="s">
        <v>616</v>
      </c>
    </row>
    <row r="225" spans="1:9">
      <c r="A225" s="25">
        <v>32</v>
      </c>
      <c r="B225" s="16" t="s">
        <v>706</v>
      </c>
      <c r="C225" s="16" t="s">
        <v>1421</v>
      </c>
      <c r="D225" s="38" t="s">
        <v>1201</v>
      </c>
      <c r="E225" s="38" t="s">
        <v>707</v>
      </c>
      <c r="F225" s="38" t="s">
        <v>499</v>
      </c>
      <c r="G225" s="16" t="s">
        <v>708</v>
      </c>
      <c r="H225" s="53" t="s">
        <v>709</v>
      </c>
      <c r="I225" s="93" t="s">
        <v>710</v>
      </c>
    </row>
    <row r="226" spans="1:9">
      <c r="A226" s="15">
        <v>33</v>
      </c>
      <c r="B226" s="16" t="s">
        <v>734</v>
      </c>
      <c r="C226" s="16" t="s">
        <v>1429</v>
      </c>
      <c r="D226" s="38" t="s">
        <v>1201</v>
      </c>
      <c r="E226" s="38" t="s">
        <v>735</v>
      </c>
      <c r="F226" s="38" t="s">
        <v>499</v>
      </c>
      <c r="G226" s="16" t="s">
        <v>2283</v>
      </c>
      <c r="H226" s="42" t="s">
        <v>736</v>
      </c>
      <c r="I226" s="93" t="s">
        <v>737</v>
      </c>
    </row>
    <row r="227" spans="1:9">
      <c r="A227" s="15">
        <v>34</v>
      </c>
      <c r="B227" s="16" t="s">
        <v>760</v>
      </c>
      <c r="C227" s="16" t="s">
        <v>1436</v>
      </c>
      <c r="D227" s="38" t="s">
        <v>1201</v>
      </c>
      <c r="E227" s="38" t="s">
        <v>761</v>
      </c>
      <c r="F227" s="38" t="s">
        <v>499</v>
      </c>
      <c r="G227" s="16" t="s">
        <v>2284</v>
      </c>
      <c r="H227" s="42" t="s">
        <v>762</v>
      </c>
      <c r="I227" s="94" t="s">
        <v>763</v>
      </c>
    </row>
    <row r="228" spans="1:9">
      <c r="A228" s="15">
        <v>35</v>
      </c>
      <c r="B228" s="16" t="s">
        <v>1690</v>
      </c>
      <c r="C228" s="16" t="s">
        <v>1401</v>
      </c>
      <c r="D228" s="38" t="s">
        <v>1201</v>
      </c>
      <c r="E228" s="38" t="s">
        <v>630</v>
      </c>
      <c r="F228" s="38" t="s">
        <v>499</v>
      </c>
      <c r="G228" s="16" t="s">
        <v>2285</v>
      </c>
      <c r="H228" s="53" t="s">
        <v>631</v>
      </c>
      <c r="I228" s="94" t="s">
        <v>632</v>
      </c>
    </row>
    <row r="229" spans="1:9">
      <c r="A229" s="15">
        <v>38</v>
      </c>
      <c r="B229" s="16" t="s">
        <v>662</v>
      </c>
      <c r="C229" s="16" t="s">
        <v>1409</v>
      </c>
      <c r="D229" s="38" t="s">
        <v>1201</v>
      </c>
      <c r="E229" s="38" t="s">
        <v>663</v>
      </c>
      <c r="F229" s="38" t="s">
        <v>499</v>
      </c>
      <c r="G229" s="16" t="s">
        <v>664</v>
      </c>
      <c r="H229" s="42" t="s">
        <v>665</v>
      </c>
      <c r="I229" s="103" t="s">
        <v>666</v>
      </c>
    </row>
    <row r="230" spans="1:9">
      <c r="A230" s="15">
        <v>42</v>
      </c>
      <c r="B230" s="16" t="s">
        <v>773</v>
      </c>
      <c r="C230" s="16" t="s">
        <v>1440</v>
      </c>
      <c r="D230" s="38" t="s">
        <v>1201</v>
      </c>
      <c r="E230" s="38" t="s">
        <v>774</v>
      </c>
      <c r="F230" s="38" t="s">
        <v>499</v>
      </c>
      <c r="G230" s="16" t="s">
        <v>775</v>
      </c>
      <c r="H230" s="42" t="s">
        <v>776</v>
      </c>
      <c r="I230" s="93" t="s">
        <v>777</v>
      </c>
    </row>
    <row r="231" spans="1:9">
      <c r="A231" s="15">
        <v>45</v>
      </c>
      <c r="B231" s="16" t="s">
        <v>591</v>
      </c>
      <c r="C231" s="16" t="s">
        <v>1390</v>
      </c>
      <c r="D231" s="38" t="s">
        <v>1201</v>
      </c>
      <c r="E231" s="38" t="s">
        <v>592</v>
      </c>
      <c r="F231" s="38" t="s">
        <v>499</v>
      </c>
      <c r="G231" s="16" t="s">
        <v>2286</v>
      </c>
      <c r="H231" s="53" t="s">
        <v>593</v>
      </c>
      <c r="I231" s="93" t="s">
        <v>594</v>
      </c>
    </row>
    <row r="232" spans="1:9">
      <c r="A232" s="15">
        <v>46</v>
      </c>
      <c r="B232" s="16" t="s">
        <v>670</v>
      </c>
      <c r="C232" s="16" t="s">
        <v>1411</v>
      </c>
      <c r="D232" s="38" t="s">
        <v>1201</v>
      </c>
      <c r="E232" s="38" t="s">
        <v>671</v>
      </c>
      <c r="F232" s="38" t="s">
        <v>499</v>
      </c>
      <c r="G232" s="16" t="s">
        <v>2287</v>
      </c>
      <c r="H232" s="42" t="s">
        <v>672</v>
      </c>
      <c r="I232" s="94" t="s">
        <v>673</v>
      </c>
    </row>
    <row r="233" spans="1:9">
      <c r="A233" s="15">
        <v>53</v>
      </c>
      <c r="B233" s="16" t="s">
        <v>586</v>
      </c>
      <c r="C233" s="16" t="s">
        <v>1389</v>
      </c>
      <c r="D233" s="38" t="s">
        <v>1201</v>
      </c>
      <c r="E233" s="38" t="s">
        <v>587</v>
      </c>
      <c r="F233" s="38" t="s">
        <v>499</v>
      </c>
      <c r="G233" s="16" t="s">
        <v>588</v>
      </c>
      <c r="H233" s="42" t="s">
        <v>589</v>
      </c>
      <c r="I233" s="94" t="s">
        <v>590</v>
      </c>
    </row>
    <row r="234" spans="1:9">
      <c r="A234" s="15">
        <v>54</v>
      </c>
      <c r="B234" s="16" t="s">
        <v>778</v>
      </c>
      <c r="C234" s="16" t="s">
        <v>1441</v>
      </c>
      <c r="D234" s="38" t="s">
        <v>1201</v>
      </c>
      <c r="E234" s="38" t="s">
        <v>779</v>
      </c>
      <c r="F234" s="38" t="s">
        <v>499</v>
      </c>
      <c r="G234" s="16" t="s">
        <v>2288</v>
      </c>
      <c r="H234" s="42" t="s">
        <v>780</v>
      </c>
      <c r="I234" s="94" t="s">
        <v>781</v>
      </c>
    </row>
    <row r="235" spans="1:9">
      <c r="A235" s="15">
        <v>57</v>
      </c>
      <c r="B235" s="16" t="s">
        <v>714</v>
      </c>
      <c r="C235" s="16" t="s">
        <v>1423</v>
      </c>
      <c r="D235" s="38" t="s">
        <v>1201</v>
      </c>
      <c r="E235" s="38" t="s">
        <v>715</v>
      </c>
      <c r="F235" s="38" t="s">
        <v>499</v>
      </c>
      <c r="G235" s="16" t="s">
        <v>716</v>
      </c>
      <c r="H235" s="42" t="s">
        <v>717</v>
      </c>
      <c r="I235" s="94" t="s">
        <v>718</v>
      </c>
    </row>
    <row r="236" spans="1:9">
      <c r="A236" s="15">
        <v>63</v>
      </c>
      <c r="B236" s="16" t="s">
        <v>1698</v>
      </c>
      <c r="C236" s="16" t="s">
        <v>1419</v>
      </c>
      <c r="D236" s="38" t="s">
        <v>1201</v>
      </c>
      <c r="E236" s="38" t="s">
        <v>699</v>
      </c>
      <c r="F236" s="38" t="s">
        <v>499</v>
      </c>
      <c r="G236" s="16" t="s">
        <v>700</v>
      </c>
      <c r="H236" s="42" t="s">
        <v>701</v>
      </c>
      <c r="I236" s="94" t="s">
        <v>702</v>
      </c>
    </row>
    <row r="237" spans="1:9">
      <c r="A237" s="17">
        <v>64</v>
      </c>
      <c r="B237" s="16" t="s">
        <v>636</v>
      </c>
      <c r="C237" s="16" t="s">
        <v>1403</v>
      </c>
      <c r="D237" s="38" t="s">
        <v>1201</v>
      </c>
      <c r="E237" s="38" t="s">
        <v>637</v>
      </c>
      <c r="F237" s="38" t="s">
        <v>499</v>
      </c>
      <c r="G237" s="16" t="s">
        <v>638</v>
      </c>
      <c r="H237" s="42" t="s">
        <v>639</v>
      </c>
      <c r="I237" s="94" t="s">
        <v>640</v>
      </c>
    </row>
    <row r="238" spans="1:9">
      <c r="A238" s="17">
        <v>66</v>
      </c>
      <c r="B238" s="16" t="s">
        <v>1668</v>
      </c>
      <c r="C238" s="16" t="s">
        <v>1366</v>
      </c>
      <c r="D238" s="38" t="s">
        <v>1201</v>
      </c>
      <c r="E238" s="38" t="s">
        <v>498</v>
      </c>
      <c r="F238" s="38" t="s">
        <v>499</v>
      </c>
      <c r="G238" s="16" t="s">
        <v>500</v>
      </c>
      <c r="H238" s="42" t="s">
        <v>501</v>
      </c>
      <c r="I238" s="93" t="s">
        <v>502</v>
      </c>
    </row>
    <row r="239" spans="1:9">
      <c r="A239" s="15">
        <v>69</v>
      </c>
      <c r="B239" s="16" t="s">
        <v>677</v>
      </c>
      <c r="C239" s="16" t="s">
        <v>1413</v>
      </c>
      <c r="D239" s="38" t="s">
        <v>1201</v>
      </c>
      <c r="E239" s="38" t="s">
        <v>678</v>
      </c>
      <c r="F239" s="38" t="s">
        <v>499</v>
      </c>
      <c r="G239" s="16" t="s">
        <v>2289</v>
      </c>
      <c r="H239" s="42" t="s">
        <v>679</v>
      </c>
      <c r="I239" s="93" t="s">
        <v>680</v>
      </c>
    </row>
    <row r="240" spans="1:9" ht="14.25" thickBot="1">
      <c r="A240" s="26">
        <v>72</v>
      </c>
      <c r="B240" s="19" t="s">
        <v>1669</v>
      </c>
      <c r="C240" s="19" t="s">
        <v>1367</v>
      </c>
      <c r="D240" s="48" t="s">
        <v>1201</v>
      </c>
      <c r="E240" s="48" t="s">
        <v>503</v>
      </c>
      <c r="F240" s="48" t="s">
        <v>499</v>
      </c>
      <c r="G240" s="19" t="s">
        <v>504</v>
      </c>
      <c r="H240" s="49" t="s">
        <v>505</v>
      </c>
      <c r="I240" s="97" t="s">
        <v>506</v>
      </c>
    </row>
    <row r="241" spans="1:9">
      <c r="A241" s="21">
        <v>82</v>
      </c>
      <c r="B241" s="22" t="s">
        <v>524</v>
      </c>
      <c r="C241" s="22" t="s">
        <v>1373</v>
      </c>
      <c r="D241" s="50" t="s">
        <v>1201</v>
      </c>
      <c r="E241" s="50" t="s">
        <v>525</v>
      </c>
      <c r="F241" s="50" t="s">
        <v>499</v>
      </c>
      <c r="G241" s="22" t="s">
        <v>526</v>
      </c>
      <c r="H241" s="51" t="s">
        <v>527</v>
      </c>
      <c r="I241" s="105" t="s">
        <v>528</v>
      </c>
    </row>
    <row r="242" spans="1:9">
      <c r="A242" s="25">
        <v>90</v>
      </c>
      <c r="B242" s="27" t="s">
        <v>534</v>
      </c>
      <c r="C242" s="27" t="s">
        <v>1375</v>
      </c>
      <c r="D242" s="52" t="s">
        <v>1201</v>
      </c>
      <c r="E242" s="52" t="s">
        <v>535</v>
      </c>
      <c r="F242" s="52" t="s">
        <v>499</v>
      </c>
      <c r="G242" s="27" t="s">
        <v>536</v>
      </c>
      <c r="H242" s="53" t="s">
        <v>537</v>
      </c>
      <c r="I242" s="103" t="s">
        <v>538</v>
      </c>
    </row>
    <row r="243" spans="1:9">
      <c r="A243" s="15">
        <v>92</v>
      </c>
      <c r="B243" s="16" t="s">
        <v>657</v>
      </c>
      <c r="C243" s="16" t="s">
        <v>1408</v>
      </c>
      <c r="D243" s="38" t="s">
        <v>1201</v>
      </c>
      <c r="E243" s="38" t="s">
        <v>658</v>
      </c>
      <c r="F243" s="38" t="s">
        <v>499</v>
      </c>
      <c r="G243" s="16" t="s">
        <v>659</v>
      </c>
      <c r="H243" s="42" t="s">
        <v>660</v>
      </c>
      <c r="I243" s="94" t="s">
        <v>661</v>
      </c>
    </row>
    <row r="244" spans="1:9">
      <c r="A244" s="15">
        <v>95</v>
      </c>
      <c r="B244" s="16" t="s">
        <v>641</v>
      </c>
      <c r="C244" s="16" t="s">
        <v>1404</v>
      </c>
      <c r="D244" s="38" t="s">
        <v>1201</v>
      </c>
      <c r="E244" s="38" t="s">
        <v>642</v>
      </c>
      <c r="F244" s="38" t="s">
        <v>499</v>
      </c>
      <c r="G244" s="16" t="s">
        <v>643</v>
      </c>
      <c r="H244" s="42" t="s">
        <v>644</v>
      </c>
      <c r="I244" s="94" t="s">
        <v>645</v>
      </c>
    </row>
    <row r="245" spans="1:9">
      <c r="A245" s="17">
        <v>102</v>
      </c>
      <c r="B245" s="16" t="s">
        <v>529</v>
      </c>
      <c r="C245" s="16" t="s">
        <v>1374</v>
      </c>
      <c r="D245" s="38" t="s">
        <v>1201</v>
      </c>
      <c r="E245" s="38" t="s">
        <v>530</v>
      </c>
      <c r="F245" s="38" t="s">
        <v>499</v>
      </c>
      <c r="G245" s="16" t="s">
        <v>531</v>
      </c>
      <c r="H245" s="55" t="s">
        <v>532</v>
      </c>
      <c r="I245" s="94" t="s">
        <v>533</v>
      </c>
    </row>
    <row r="246" spans="1:9">
      <c r="A246" s="13">
        <v>108</v>
      </c>
      <c r="B246" s="16" t="s">
        <v>646</v>
      </c>
      <c r="C246" s="16" t="s">
        <v>1405</v>
      </c>
      <c r="D246" s="38" t="s">
        <v>1201</v>
      </c>
      <c r="E246" s="38" t="s">
        <v>647</v>
      </c>
      <c r="F246" s="38" t="s">
        <v>499</v>
      </c>
      <c r="G246" s="16" t="s">
        <v>648</v>
      </c>
      <c r="H246" s="41" t="s">
        <v>649</v>
      </c>
      <c r="I246" s="94" t="s">
        <v>650</v>
      </c>
    </row>
    <row r="247" spans="1:9">
      <c r="A247" s="15">
        <v>110</v>
      </c>
      <c r="B247" s="16" t="s">
        <v>604</v>
      </c>
      <c r="C247" s="16" t="s">
        <v>1394</v>
      </c>
      <c r="D247" s="38" t="s">
        <v>1201</v>
      </c>
      <c r="E247" s="38" t="s">
        <v>605</v>
      </c>
      <c r="F247" s="38" t="s">
        <v>499</v>
      </c>
      <c r="G247" s="16" t="s">
        <v>606</v>
      </c>
      <c r="H247" s="42" t="s">
        <v>607</v>
      </c>
      <c r="I247" s="94" t="s">
        <v>608</v>
      </c>
    </row>
    <row r="248" spans="1:9">
      <c r="A248" s="15">
        <v>111</v>
      </c>
      <c r="B248" s="16" t="s">
        <v>581</v>
      </c>
      <c r="C248" s="16" t="s">
        <v>1388</v>
      </c>
      <c r="D248" s="38" t="s">
        <v>1201</v>
      </c>
      <c r="E248" s="38" t="s">
        <v>582</v>
      </c>
      <c r="F248" s="38" t="s">
        <v>499</v>
      </c>
      <c r="G248" s="16" t="s">
        <v>583</v>
      </c>
      <c r="H248" s="42" t="s">
        <v>584</v>
      </c>
      <c r="I248" s="94" t="s">
        <v>585</v>
      </c>
    </row>
    <row r="249" spans="1:9">
      <c r="A249" s="15">
        <v>115</v>
      </c>
      <c r="B249" s="16" t="s">
        <v>561</v>
      </c>
      <c r="C249" s="16" t="s">
        <v>1382</v>
      </c>
      <c r="D249" s="38" t="s">
        <v>1201</v>
      </c>
      <c r="E249" s="38" t="s">
        <v>562</v>
      </c>
      <c r="F249" s="38" t="s">
        <v>499</v>
      </c>
      <c r="G249" s="16" t="s">
        <v>563</v>
      </c>
      <c r="H249" s="42" t="s">
        <v>564</v>
      </c>
      <c r="I249" s="94" t="s">
        <v>565</v>
      </c>
    </row>
    <row r="250" spans="1:9">
      <c r="A250" s="15">
        <v>116</v>
      </c>
      <c r="B250" s="16" t="s">
        <v>617</v>
      </c>
      <c r="C250" s="16" t="s">
        <v>1397</v>
      </c>
      <c r="D250" s="38" t="s">
        <v>1201</v>
      </c>
      <c r="E250" s="38" t="s">
        <v>618</v>
      </c>
      <c r="F250" s="38" t="s">
        <v>499</v>
      </c>
      <c r="G250" s="16" t="s">
        <v>619</v>
      </c>
      <c r="H250" s="42" t="s">
        <v>620</v>
      </c>
      <c r="I250" s="93" t="s">
        <v>621</v>
      </c>
    </row>
    <row r="251" spans="1:9">
      <c r="A251" s="15">
        <v>118</v>
      </c>
      <c r="B251" s="16" t="s">
        <v>742</v>
      </c>
      <c r="C251" s="16" t="s">
        <v>1431</v>
      </c>
      <c r="D251" s="38" t="s">
        <v>1201</v>
      </c>
      <c r="E251" s="38" t="s">
        <v>743</v>
      </c>
      <c r="F251" s="38" t="s">
        <v>499</v>
      </c>
      <c r="G251" s="16" t="s">
        <v>744</v>
      </c>
      <c r="H251" s="42" t="s">
        <v>745</v>
      </c>
      <c r="I251" s="93" t="s">
        <v>746</v>
      </c>
    </row>
    <row r="252" spans="1:9">
      <c r="A252" s="15">
        <v>121</v>
      </c>
      <c r="B252" s="16" t="s">
        <v>598</v>
      </c>
      <c r="C252" s="16" t="s">
        <v>1392</v>
      </c>
      <c r="D252" s="38" t="s">
        <v>1201</v>
      </c>
      <c r="E252" s="38" t="s">
        <v>599</v>
      </c>
      <c r="F252" s="38" t="s">
        <v>499</v>
      </c>
      <c r="G252" s="16" t="s">
        <v>2290</v>
      </c>
      <c r="H252" s="42" t="s">
        <v>600</v>
      </c>
      <c r="I252" s="94" t="s">
        <v>601</v>
      </c>
    </row>
    <row r="253" spans="1:9">
      <c r="A253" s="15">
        <v>125</v>
      </c>
      <c r="B253" s="16" t="s">
        <v>542</v>
      </c>
      <c r="C253" s="23" t="s">
        <v>1377</v>
      </c>
      <c r="D253" s="45" t="s">
        <v>1201</v>
      </c>
      <c r="E253" s="45" t="s">
        <v>543</v>
      </c>
      <c r="F253" s="45" t="s">
        <v>499</v>
      </c>
      <c r="G253" s="16" t="s">
        <v>544</v>
      </c>
      <c r="H253" s="42" t="s">
        <v>545</v>
      </c>
      <c r="I253" s="94" t="s">
        <v>546</v>
      </c>
    </row>
    <row r="254" spans="1:9">
      <c r="A254" s="15">
        <v>129</v>
      </c>
      <c r="B254" s="16" t="s">
        <v>1985</v>
      </c>
      <c r="C254" s="16" t="s">
        <v>1430</v>
      </c>
      <c r="D254" s="38" t="s">
        <v>1201</v>
      </c>
      <c r="E254" s="38" t="s">
        <v>738</v>
      </c>
      <c r="F254" s="38" t="s">
        <v>499</v>
      </c>
      <c r="G254" s="16" t="s">
        <v>739</v>
      </c>
      <c r="H254" s="42" t="s">
        <v>740</v>
      </c>
      <c r="I254" s="94" t="s">
        <v>741</v>
      </c>
    </row>
    <row r="255" spans="1:9">
      <c r="A255" s="15">
        <v>131</v>
      </c>
      <c r="B255" s="16" t="s">
        <v>1671</v>
      </c>
      <c r="C255" s="23" t="s">
        <v>1369</v>
      </c>
      <c r="D255" s="45" t="s">
        <v>1201</v>
      </c>
      <c r="E255" s="45" t="s">
        <v>510</v>
      </c>
      <c r="F255" s="45" t="s">
        <v>499</v>
      </c>
      <c r="G255" s="16" t="s">
        <v>511</v>
      </c>
      <c r="H255" s="42" t="s">
        <v>512</v>
      </c>
      <c r="I255" s="94" t="s">
        <v>513</v>
      </c>
    </row>
    <row r="256" spans="1:9">
      <c r="A256" s="15">
        <v>133</v>
      </c>
      <c r="B256" s="16" t="s">
        <v>687</v>
      </c>
      <c r="C256" s="16" t="s">
        <v>1416</v>
      </c>
      <c r="D256" s="38" t="s">
        <v>1201</v>
      </c>
      <c r="E256" s="38" t="s">
        <v>688</v>
      </c>
      <c r="F256" s="38" t="s">
        <v>499</v>
      </c>
      <c r="G256" s="16" t="s">
        <v>2291</v>
      </c>
      <c r="H256" s="42" t="s">
        <v>689</v>
      </c>
      <c r="I256" s="94" t="s">
        <v>690</v>
      </c>
    </row>
    <row r="257" spans="1:9">
      <c r="A257" s="15">
        <v>137</v>
      </c>
      <c r="B257" s="16" t="s">
        <v>1708</v>
      </c>
      <c r="C257" s="16" t="s">
        <v>1437</v>
      </c>
      <c r="D257" s="38" t="s">
        <v>1201</v>
      </c>
      <c r="E257" s="38" t="s">
        <v>764</v>
      </c>
      <c r="F257" s="38" t="s">
        <v>499</v>
      </c>
      <c r="G257" s="16" t="s">
        <v>2292</v>
      </c>
      <c r="H257" s="42" t="s">
        <v>765</v>
      </c>
      <c r="I257" s="94" t="s">
        <v>766</v>
      </c>
    </row>
    <row r="258" spans="1:9">
      <c r="A258" s="15">
        <v>141</v>
      </c>
      <c r="B258" s="16" t="s">
        <v>1672</v>
      </c>
      <c r="C258" s="16" t="s">
        <v>1370</v>
      </c>
      <c r="D258" s="38" t="s">
        <v>1201</v>
      </c>
      <c r="E258" s="38" t="s">
        <v>514</v>
      </c>
      <c r="F258" s="38" t="s">
        <v>499</v>
      </c>
      <c r="G258" s="16" t="s">
        <v>515</v>
      </c>
      <c r="H258" s="42" t="s">
        <v>516</v>
      </c>
      <c r="I258" s="94" t="s">
        <v>517</v>
      </c>
    </row>
    <row r="259" spans="1:9">
      <c r="A259" s="15">
        <v>146</v>
      </c>
      <c r="B259" s="16" t="s">
        <v>1697</v>
      </c>
      <c r="C259" s="23" t="s">
        <v>1418</v>
      </c>
      <c r="D259" s="45" t="s">
        <v>1201</v>
      </c>
      <c r="E259" s="45" t="s">
        <v>696</v>
      </c>
      <c r="F259" s="45" t="s">
        <v>499</v>
      </c>
      <c r="G259" s="16" t="s">
        <v>2293</v>
      </c>
      <c r="H259" s="42" t="s">
        <v>697</v>
      </c>
      <c r="I259" s="94" t="s">
        <v>698</v>
      </c>
    </row>
    <row r="260" spans="1:9">
      <c r="A260" s="15">
        <v>151</v>
      </c>
      <c r="B260" s="16" t="s">
        <v>1699</v>
      </c>
      <c r="C260" s="16" t="s">
        <v>1422</v>
      </c>
      <c r="D260" s="38" t="s">
        <v>1201</v>
      </c>
      <c r="E260" s="38" t="s">
        <v>711</v>
      </c>
      <c r="F260" s="38" t="s">
        <v>499</v>
      </c>
      <c r="G260" s="16" t="s">
        <v>2294</v>
      </c>
      <c r="H260" s="42" t="s">
        <v>712</v>
      </c>
      <c r="I260" s="94" t="s">
        <v>713</v>
      </c>
    </row>
    <row r="261" spans="1:9">
      <c r="A261" s="15">
        <v>152</v>
      </c>
      <c r="B261" s="16" t="s">
        <v>1694</v>
      </c>
      <c r="C261" s="16" t="s">
        <v>1412</v>
      </c>
      <c r="D261" s="38" t="s">
        <v>1201</v>
      </c>
      <c r="E261" s="38" t="s">
        <v>674</v>
      </c>
      <c r="F261" s="38" t="s">
        <v>499</v>
      </c>
      <c r="G261" s="16" t="s">
        <v>2295</v>
      </c>
      <c r="H261" s="42" t="s">
        <v>675</v>
      </c>
      <c r="I261" s="93" t="s">
        <v>676</v>
      </c>
    </row>
    <row r="262" spans="1:9">
      <c r="A262" s="15">
        <v>165</v>
      </c>
      <c r="B262" s="23" t="s">
        <v>1686</v>
      </c>
      <c r="C262" s="23" t="s">
        <v>1395</v>
      </c>
      <c r="D262" s="45" t="s">
        <v>1201</v>
      </c>
      <c r="E262" s="45" t="s">
        <v>609</v>
      </c>
      <c r="F262" s="45" t="s">
        <v>499</v>
      </c>
      <c r="G262" s="16" t="s">
        <v>2296</v>
      </c>
      <c r="H262" s="42" t="s">
        <v>610</v>
      </c>
      <c r="I262" s="94" t="s">
        <v>611</v>
      </c>
    </row>
    <row r="263" spans="1:9">
      <c r="A263" s="15">
        <v>167</v>
      </c>
      <c r="B263" s="16" t="s">
        <v>1687</v>
      </c>
      <c r="C263" s="16" t="s">
        <v>1398</v>
      </c>
      <c r="D263" s="38" t="s">
        <v>1201</v>
      </c>
      <c r="E263" s="38" t="s">
        <v>618</v>
      </c>
      <c r="F263" s="38" t="s">
        <v>499</v>
      </c>
      <c r="G263" s="16" t="s">
        <v>2297</v>
      </c>
      <c r="H263" s="42" t="s">
        <v>622</v>
      </c>
      <c r="I263" s="106" t="s">
        <v>623</v>
      </c>
    </row>
    <row r="264" spans="1:9">
      <c r="A264" s="15">
        <v>177</v>
      </c>
      <c r="B264" s="16" t="s">
        <v>1692</v>
      </c>
      <c r="C264" s="16" t="s">
        <v>1407</v>
      </c>
      <c r="D264" s="38" t="s">
        <v>1201</v>
      </c>
      <c r="E264" s="38" t="s">
        <v>654</v>
      </c>
      <c r="F264" s="38" t="s">
        <v>499</v>
      </c>
      <c r="G264" s="16" t="s">
        <v>2298</v>
      </c>
      <c r="H264" s="42" t="s">
        <v>655</v>
      </c>
      <c r="I264" s="94" t="s">
        <v>656</v>
      </c>
    </row>
    <row r="265" spans="1:9">
      <c r="A265" s="15">
        <v>178</v>
      </c>
      <c r="B265" s="16" t="s">
        <v>1674</v>
      </c>
      <c r="C265" s="16" t="s">
        <v>1372</v>
      </c>
      <c r="D265" s="38" t="s">
        <v>1201</v>
      </c>
      <c r="E265" s="38" t="s">
        <v>521</v>
      </c>
      <c r="F265" s="38" t="s">
        <v>499</v>
      </c>
      <c r="G265" s="16" t="s">
        <v>2299</v>
      </c>
      <c r="H265" s="42" t="s">
        <v>522</v>
      </c>
      <c r="I265" s="94" t="s">
        <v>523</v>
      </c>
    </row>
    <row r="266" spans="1:9">
      <c r="A266" s="15">
        <v>179</v>
      </c>
      <c r="B266" s="16" t="s">
        <v>1704</v>
      </c>
      <c r="C266" s="23" t="s">
        <v>1428</v>
      </c>
      <c r="D266" s="45" t="s">
        <v>1201</v>
      </c>
      <c r="E266" s="45" t="s">
        <v>731</v>
      </c>
      <c r="F266" s="45" t="s">
        <v>499</v>
      </c>
      <c r="G266" s="16" t="s">
        <v>2300</v>
      </c>
      <c r="H266" s="42" t="s">
        <v>732</v>
      </c>
      <c r="I266" s="94" t="s">
        <v>733</v>
      </c>
    </row>
    <row r="267" spans="1:9">
      <c r="A267" s="15">
        <v>189</v>
      </c>
      <c r="B267" s="16" t="s">
        <v>1683</v>
      </c>
      <c r="C267" s="16" t="s">
        <v>1387</v>
      </c>
      <c r="D267" s="38" t="s">
        <v>1201</v>
      </c>
      <c r="E267" s="38" t="s">
        <v>578</v>
      </c>
      <c r="F267" s="38" t="s">
        <v>499</v>
      </c>
      <c r="G267" s="16" t="s">
        <v>2301</v>
      </c>
      <c r="H267" s="42" t="s">
        <v>579</v>
      </c>
      <c r="I267" s="94" t="s">
        <v>580</v>
      </c>
    </row>
    <row r="268" spans="1:9">
      <c r="A268" s="15">
        <v>190</v>
      </c>
      <c r="B268" s="16" t="s">
        <v>1681</v>
      </c>
      <c r="C268" s="16" t="s">
        <v>1385</v>
      </c>
      <c r="D268" s="38" t="s">
        <v>1201</v>
      </c>
      <c r="E268" s="38" t="s">
        <v>572</v>
      </c>
      <c r="F268" s="38" t="s">
        <v>499</v>
      </c>
      <c r="G268" s="16" t="s">
        <v>2302</v>
      </c>
      <c r="H268" s="42" t="s">
        <v>573</v>
      </c>
      <c r="I268" s="94" t="s">
        <v>574</v>
      </c>
    </row>
    <row r="269" spans="1:9">
      <c r="A269" s="15">
        <v>197</v>
      </c>
      <c r="B269" s="16" t="s">
        <v>1689</v>
      </c>
      <c r="C269" s="16" t="s">
        <v>1400</v>
      </c>
      <c r="D269" s="38" t="s">
        <v>1201</v>
      </c>
      <c r="E269" s="38" t="s">
        <v>627</v>
      </c>
      <c r="F269" s="38" t="s">
        <v>499</v>
      </c>
      <c r="G269" s="16" t="s">
        <v>2303</v>
      </c>
      <c r="H269" s="42" t="s">
        <v>628</v>
      </c>
      <c r="I269" s="94" t="s">
        <v>629</v>
      </c>
    </row>
    <row r="270" spans="1:9">
      <c r="A270" s="15">
        <v>205</v>
      </c>
      <c r="B270" s="16" t="s">
        <v>1702</v>
      </c>
      <c r="C270" s="16" t="s">
        <v>1426</v>
      </c>
      <c r="D270" s="38" t="s">
        <v>1201</v>
      </c>
      <c r="E270" s="38" t="s">
        <v>725</v>
      </c>
      <c r="F270" s="38" t="s">
        <v>499</v>
      </c>
      <c r="G270" s="16" t="s">
        <v>2304</v>
      </c>
      <c r="H270" s="42" t="s">
        <v>726</v>
      </c>
      <c r="I270" s="94" t="s">
        <v>727</v>
      </c>
    </row>
    <row r="271" spans="1:9">
      <c r="A271" s="15">
        <v>206</v>
      </c>
      <c r="B271" s="16" t="s">
        <v>1691</v>
      </c>
      <c r="C271" s="16" t="s">
        <v>1402</v>
      </c>
      <c r="D271" s="38" t="s">
        <v>1201</v>
      </c>
      <c r="E271" s="38" t="s">
        <v>633</v>
      </c>
      <c r="F271" s="38" t="s">
        <v>499</v>
      </c>
      <c r="G271" s="16" t="s">
        <v>2305</v>
      </c>
      <c r="H271" s="42" t="s">
        <v>634</v>
      </c>
      <c r="I271" s="94" t="s">
        <v>635</v>
      </c>
    </row>
    <row r="272" spans="1:9">
      <c r="A272" s="15">
        <v>220</v>
      </c>
      <c r="B272" s="16" t="s">
        <v>1682</v>
      </c>
      <c r="C272" s="16" t="s">
        <v>1386</v>
      </c>
      <c r="D272" s="38" t="s">
        <v>1201</v>
      </c>
      <c r="E272" s="38" t="s">
        <v>575</v>
      </c>
      <c r="F272" s="38" t="s">
        <v>499</v>
      </c>
      <c r="G272" s="16" t="s">
        <v>2306</v>
      </c>
      <c r="H272" s="42" t="s">
        <v>576</v>
      </c>
      <c r="I272" s="94" t="s">
        <v>577</v>
      </c>
    </row>
    <row r="273" spans="1:9">
      <c r="A273" s="15">
        <v>232</v>
      </c>
      <c r="B273" s="16" t="s">
        <v>1675</v>
      </c>
      <c r="C273" s="16" t="s">
        <v>1376</v>
      </c>
      <c r="D273" s="38" t="s">
        <v>1201</v>
      </c>
      <c r="E273" s="38" t="s">
        <v>539</v>
      </c>
      <c r="F273" s="38" t="s">
        <v>499</v>
      </c>
      <c r="G273" s="16" t="s">
        <v>2307</v>
      </c>
      <c r="H273" s="42" t="s">
        <v>540</v>
      </c>
      <c r="I273" s="94" t="s">
        <v>541</v>
      </c>
    </row>
    <row r="274" spans="1:9">
      <c r="A274" s="15">
        <v>237</v>
      </c>
      <c r="B274" s="16" t="s">
        <v>1676</v>
      </c>
      <c r="C274" s="16" t="s">
        <v>1378</v>
      </c>
      <c r="D274" s="38" t="s">
        <v>1201</v>
      </c>
      <c r="E274" s="38" t="s">
        <v>547</v>
      </c>
      <c r="F274" s="38" t="s">
        <v>499</v>
      </c>
      <c r="G274" s="16" t="s">
        <v>2308</v>
      </c>
      <c r="H274" s="42" t="s">
        <v>548</v>
      </c>
      <c r="I274" s="93" t="s">
        <v>549</v>
      </c>
    </row>
    <row r="275" spans="1:9">
      <c r="A275" s="15">
        <v>244</v>
      </c>
      <c r="B275" s="16" t="s">
        <v>1678</v>
      </c>
      <c r="C275" s="16" t="s">
        <v>1380</v>
      </c>
      <c r="D275" s="38" t="s">
        <v>1201</v>
      </c>
      <c r="E275" s="38" t="s">
        <v>553</v>
      </c>
      <c r="F275" s="38" t="s">
        <v>499</v>
      </c>
      <c r="G275" s="16" t="s">
        <v>2309</v>
      </c>
      <c r="H275" s="42" t="s">
        <v>554</v>
      </c>
      <c r="I275" s="94" t="s">
        <v>555</v>
      </c>
    </row>
    <row r="276" spans="1:9">
      <c r="A276" s="15">
        <v>250</v>
      </c>
      <c r="B276" s="16" t="s">
        <v>1684</v>
      </c>
      <c r="C276" s="16" t="s">
        <v>1391</v>
      </c>
      <c r="D276" s="38" t="s">
        <v>1201</v>
      </c>
      <c r="E276" s="38" t="s">
        <v>595</v>
      </c>
      <c r="F276" s="38" t="s">
        <v>499</v>
      </c>
      <c r="G276" s="16" t="s">
        <v>2310</v>
      </c>
      <c r="H276" s="42" t="s">
        <v>596</v>
      </c>
      <c r="I276" s="94" t="s">
        <v>597</v>
      </c>
    </row>
    <row r="277" spans="1:9">
      <c r="A277" s="15">
        <v>251</v>
      </c>
      <c r="B277" s="16" t="s">
        <v>1685</v>
      </c>
      <c r="C277" s="16" t="s">
        <v>1393</v>
      </c>
      <c r="D277" s="38" t="s">
        <v>1201</v>
      </c>
      <c r="E277" s="38" t="s">
        <v>599</v>
      </c>
      <c r="F277" s="38" t="s">
        <v>499</v>
      </c>
      <c r="G277" s="16" t="s">
        <v>2311</v>
      </c>
      <c r="H277" s="42" t="s">
        <v>602</v>
      </c>
      <c r="I277" s="93" t="s">
        <v>603</v>
      </c>
    </row>
    <row r="278" spans="1:9">
      <c r="A278" s="15">
        <v>255</v>
      </c>
      <c r="B278" s="16" t="s">
        <v>1679</v>
      </c>
      <c r="C278" s="16" t="s">
        <v>1383</v>
      </c>
      <c r="D278" s="38" t="s">
        <v>1201</v>
      </c>
      <c r="E278" s="38" t="s">
        <v>566</v>
      </c>
      <c r="F278" s="38" t="s">
        <v>499</v>
      </c>
      <c r="G278" s="16" t="s">
        <v>2312</v>
      </c>
      <c r="H278" s="42" t="s">
        <v>567</v>
      </c>
      <c r="I278" s="93" t="s">
        <v>568</v>
      </c>
    </row>
    <row r="279" spans="1:9">
      <c r="A279" s="15">
        <v>256</v>
      </c>
      <c r="B279" s="16" t="s">
        <v>1670</v>
      </c>
      <c r="C279" s="16" t="s">
        <v>1368</v>
      </c>
      <c r="D279" s="38" t="s">
        <v>1201</v>
      </c>
      <c r="E279" s="38" t="s">
        <v>507</v>
      </c>
      <c r="F279" s="38" t="s">
        <v>499</v>
      </c>
      <c r="G279" s="16" t="s">
        <v>2313</v>
      </c>
      <c r="H279" s="42" t="s">
        <v>508</v>
      </c>
      <c r="I279" s="94" t="s">
        <v>509</v>
      </c>
    </row>
    <row r="280" spans="1:9">
      <c r="A280" s="15">
        <v>260</v>
      </c>
      <c r="B280" s="16" t="s">
        <v>1221</v>
      </c>
      <c r="C280" s="16" t="s">
        <v>1420</v>
      </c>
      <c r="D280" s="38" t="s">
        <v>1201</v>
      </c>
      <c r="E280" s="38" t="s">
        <v>703</v>
      </c>
      <c r="F280" s="38" t="s">
        <v>499</v>
      </c>
      <c r="G280" s="16" t="s">
        <v>2314</v>
      </c>
      <c r="H280" s="42" t="s">
        <v>704</v>
      </c>
      <c r="I280" s="93" t="s">
        <v>705</v>
      </c>
    </row>
    <row r="281" spans="1:9">
      <c r="A281" s="15">
        <v>264</v>
      </c>
      <c r="B281" s="16" t="s">
        <v>1705</v>
      </c>
      <c r="C281" s="16" t="s">
        <v>1432</v>
      </c>
      <c r="D281" s="38" t="s">
        <v>1201</v>
      </c>
      <c r="E281" s="38" t="s">
        <v>747</v>
      </c>
      <c r="F281" s="38" t="s">
        <v>499</v>
      </c>
      <c r="G281" s="16" t="s">
        <v>2315</v>
      </c>
      <c r="H281" s="42" t="s">
        <v>748</v>
      </c>
      <c r="I281" s="94" t="s">
        <v>749</v>
      </c>
    </row>
    <row r="282" spans="1:9">
      <c r="A282" s="15">
        <v>267</v>
      </c>
      <c r="B282" s="16" t="s">
        <v>1673</v>
      </c>
      <c r="C282" s="16" t="s">
        <v>1371</v>
      </c>
      <c r="D282" s="38" t="s">
        <v>1201</v>
      </c>
      <c r="E282" s="38" t="s">
        <v>518</v>
      </c>
      <c r="F282" s="38" t="s">
        <v>499</v>
      </c>
      <c r="G282" s="16" t="s">
        <v>2316</v>
      </c>
      <c r="H282" s="42" t="s">
        <v>519</v>
      </c>
      <c r="I282" s="94" t="s">
        <v>520</v>
      </c>
    </row>
    <row r="283" spans="1:9">
      <c r="A283" s="15">
        <v>285</v>
      </c>
      <c r="B283" s="16" t="s">
        <v>1707</v>
      </c>
      <c r="C283" s="16" t="s">
        <v>1434</v>
      </c>
      <c r="D283" s="38" t="s">
        <v>1201</v>
      </c>
      <c r="E283" s="38" t="s">
        <v>753</v>
      </c>
      <c r="F283" s="38" t="s">
        <v>499</v>
      </c>
      <c r="G283" s="16" t="s">
        <v>2317</v>
      </c>
      <c r="H283" s="42" t="s">
        <v>754</v>
      </c>
      <c r="I283" s="94" t="s">
        <v>755</v>
      </c>
    </row>
    <row r="284" spans="1:9">
      <c r="A284" s="15">
        <v>286</v>
      </c>
      <c r="B284" s="16" t="s">
        <v>1710</v>
      </c>
      <c r="C284" s="23" t="s">
        <v>1439</v>
      </c>
      <c r="D284" s="45" t="s">
        <v>1201</v>
      </c>
      <c r="E284" s="45" t="s">
        <v>770</v>
      </c>
      <c r="F284" s="45" t="s">
        <v>499</v>
      </c>
      <c r="G284" s="16" t="s">
        <v>2318</v>
      </c>
      <c r="H284" s="53" t="s">
        <v>771</v>
      </c>
      <c r="I284" s="94" t="s">
        <v>772</v>
      </c>
    </row>
    <row r="285" spans="1:9">
      <c r="A285" s="25">
        <v>287</v>
      </c>
      <c r="B285" s="27" t="s">
        <v>1696</v>
      </c>
      <c r="C285" s="27" t="s">
        <v>1415</v>
      </c>
      <c r="D285" s="52" t="s">
        <v>1201</v>
      </c>
      <c r="E285" s="52" t="s">
        <v>684</v>
      </c>
      <c r="F285" s="52" t="s">
        <v>499</v>
      </c>
      <c r="G285" s="27" t="s">
        <v>2319</v>
      </c>
      <c r="H285" s="53" t="s">
        <v>685</v>
      </c>
      <c r="I285" s="107" t="s">
        <v>686</v>
      </c>
    </row>
    <row r="286" spans="1:9">
      <c r="A286" s="15">
        <v>314</v>
      </c>
      <c r="B286" s="16" t="s">
        <v>1219</v>
      </c>
      <c r="C286" s="16" t="s">
        <v>1406</v>
      </c>
      <c r="D286" s="38" t="s">
        <v>1201</v>
      </c>
      <c r="E286" s="38" t="s">
        <v>651</v>
      </c>
      <c r="F286" s="38" t="s">
        <v>499</v>
      </c>
      <c r="G286" s="16" t="s">
        <v>2320</v>
      </c>
      <c r="H286" s="42" t="s">
        <v>652</v>
      </c>
      <c r="I286" s="94" t="s">
        <v>653</v>
      </c>
    </row>
    <row r="287" spans="1:9">
      <c r="A287" s="15">
        <v>318</v>
      </c>
      <c r="B287" s="16" t="s">
        <v>1677</v>
      </c>
      <c r="C287" s="23" t="s">
        <v>1379</v>
      </c>
      <c r="D287" s="45" t="s">
        <v>1201</v>
      </c>
      <c r="E287" s="45" t="s">
        <v>550</v>
      </c>
      <c r="F287" s="45" t="s">
        <v>499</v>
      </c>
      <c r="G287" s="16" t="s">
        <v>2321</v>
      </c>
      <c r="H287" s="53" t="s">
        <v>551</v>
      </c>
      <c r="I287" s="94" t="s">
        <v>552</v>
      </c>
    </row>
    <row r="288" spans="1:9">
      <c r="A288" s="25">
        <v>320</v>
      </c>
      <c r="B288" s="16" t="s">
        <v>1701</v>
      </c>
      <c r="C288" s="16" t="s">
        <v>1425</v>
      </c>
      <c r="D288" s="38" t="s">
        <v>1201</v>
      </c>
      <c r="E288" s="38" t="s">
        <v>722</v>
      </c>
      <c r="F288" s="38" t="s">
        <v>499</v>
      </c>
      <c r="G288" s="16" t="s">
        <v>2322</v>
      </c>
      <c r="H288" s="53" t="s">
        <v>723</v>
      </c>
      <c r="I288" s="103" t="s">
        <v>724</v>
      </c>
    </row>
    <row r="289" spans="1:9">
      <c r="A289" s="15">
        <v>330</v>
      </c>
      <c r="B289" s="16" t="s">
        <v>1695</v>
      </c>
      <c r="C289" s="16" t="s">
        <v>1414</v>
      </c>
      <c r="D289" s="38" t="s">
        <v>1201</v>
      </c>
      <c r="E289" s="38" t="s">
        <v>681</v>
      </c>
      <c r="F289" s="38" t="s">
        <v>499</v>
      </c>
      <c r="G289" s="16" t="s">
        <v>2323</v>
      </c>
      <c r="H289" s="42" t="s">
        <v>682</v>
      </c>
      <c r="I289" s="103" t="s">
        <v>683</v>
      </c>
    </row>
    <row r="290" spans="1:9">
      <c r="A290" s="15">
        <v>344</v>
      </c>
      <c r="B290" s="16" t="s">
        <v>1709</v>
      </c>
      <c r="C290" s="23" t="s">
        <v>1438</v>
      </c>
      <c r="D290" s="45" t="s">
        <v>1201</v>
      </c>
      <c r="E290" s="45" t="s">
        <v>767</v>
      </c>
      <c r="F290" s="45" t="s">
        <v>499</v>
      </c>
      <c r="G290" s="16" t="s">
        <v>2324</v>
      </c>
      <c r="H290" s="53" t="s">
        <v>768</v>
      </c>
      <c r="I290" s="93" t="s">
        <v>769</v>
      </c>
    </row>
    <row r="291" spans="1:9">
      <c r="A291" s="15">
        <v>346</v>
      </c>
      <c r="B291" s="16" t="s">
        <v>1680</v>
      </c>
      <c r="C291" s="23" t="s">
        <v>1384</v>
      </c>
      <c r="D291" s="45" t="s">
        <v>1201</v>
      </c>
      <c r="E291" s="45" t="s">
        <v>569</v>
      </c>
      <c r="F291" s="45" t="s">
        <v>499</v>
      </c>
      <c r="G291" s="16" t="s">
        <v>2325</v>
      </c>
      <c r="H291" s="53" t="s">
        <v>570</v>
      </c>
      <c r="I291" s="93" t="s">
        <v>571</v>
      </c>
    </row>
    <row r="292" spans="1:9">
      <c r="A292" s="15">
        <v>347</v>
      </c>
      <c r="B292" s="16" t="s">
        <v>1706</v>
      </c>
      <c r="C292" s="16" t="s">
        <v>1433</v>
      </c>
      <c r="D292" s="38" t="s">
        <v>1201</v>
      </c>
      <c r="E292" s="38" t="s">
        <v>750</v>
      </c>
      <c r="F292" s="38" t="s">
        <v>499</v>
      </c>
      <c r="G292" s="16" t="s">
        <v>2326</v>
      </c>
      <c r="H292" s="42" t="s">
        <v>751</v>
      </c>
      <c r="I292" s="94" t="s">
        <v>752</v>
      </c>
    </row>
    <row r="293" spans="1:9">
      <c r="A293" s="15">
        <v>348</v>
      </c>
      <c r="B293" s="16" t="s">
        <v>1700</v>
      </c>
      <c r="C293" s="16" t="s">
        <v>1424</v>
      </c>
      <c r="D293" s="38" t="s">
        <v>1201</v>
      </c>
      <c r="E293" s="38" t="s">
        <v>719</v>
      </c>
      <c r="F293" s="38" t="s">
        <v>499</v>
      </c>
      <c r="G293" s="16" t="s">
        <v>2327</v>
      </c>
      <c r="H293" s="42" t="s">
        <v>720</v>
      </c>
      <c r="I293" s="94" t="s">
        <v>721</v>
      </c>
    </row>
    <row r="294" spans="1:9">
      <c r="A294" s="15">
        <v>370</v>
      </c>
      <c r="B294" s="16" t="s">
        <v>1703</v>
      </c>
      <c r="C294" s="16" t="s">
        <v>1427</v>
      </c>
      <c r="D294" s="38" t="s">
        <v>1201</v>
      </c>
      <c r="E294" s="38" t="s">
        <v>728</v>
      </c>
      <c r="F294" s="38" t="s">
        <v>499</v>
      </c>
      <c r="G294" s="16" t="s">
        <v>2328</v>
      </c>
      <c r="H294" s="42" t="s">
        <v>729</v>
      </c>
      <c r="I294" s="94" t="s">
        <v>730</v>
      </c>
    </row>
    <row r="295" spans="1:9">
      <c r="A295" s="15">
        <v>390</v>
      </c>
      <c r="B295" s="16" t="s">
        <v>1688</v>
      </c>
      <c r="C295" s="16" t="s">
        <v>1399</v>
      </c>
      <c r="D295" s="38" t="s">
        <v>1201</v>
      </c>
      <c r="E295" s="38" t="s">
        <v>624</v>
      </c>
      <c r="F295" s="38" t="s">
        <v>499</v>
      </c>
      <c r="G295" s="16" t="s">
        <v>2329</v>
      </c>
      <c r="H295" s="42" t="s">
        <v>625</v>
      </c>
      <c r="I295" s="94" t="s">
        <v>626</v>
      </c>
    </row>
    <row r="296" spans="1:9">
      <c r="A296" s="15">
        <v>393</v>
      </c>
      <c r="B296" s="16" t="s">
        <v>1693</v>
      </c>
      <c r="C296" s="16" t="s">
        <v>1410</v>
      </c>
      <c r="D296" s="38" t="s">
        <v>1201</v>
      </c>
      <c r="E296" s="38" t="s">
        <v>667</v>
      </c>
      <c r="F296" s="38" t="s">
        <v>499</v>
      </c>
      <c r="G296" s="16" t="s">
        <v>2330</v>
      </c>
      <c r="H296" s="42" t="s">
        <v>668</v>
      </c>
      <c r="I296" s="93" t="s">
        <v>669</v>
      </c>
    </row>
    <row r="297" spans="1:9">
      <c r="A297" s="15">
        <v>408</v>
      </c>
      <c r="B297" s="16" t="s">
        <v>2047</v>
      </c>
      <c r="C297" s="16" t="s">
        <v>2331</v>
      </c>
      <c r="D297" s="38" t="s">
        <v>1201</v>
      </c>
      <c r="E297" s="38" t="s">
        <v>2332</v>
      </c>
      <c r="F297" s="38" t="s">
        <v>499</v>
      </c>
      <c r="G297" s="16" t="s">
        <v>2333</v>
      </c>
      <c r="H297" s="42" t="s">
        <v>2334</v>
      </c>
      <c r="I297" s="93" t="s">
        <v>2335</v>
      </c>
    </row>
    <row r="298" spans="1:9">
      <c r="A298" s="15">
        <v>416</v>
      </c>
      <c r="B298" s="16" t="s">
        <v>2437</v>
      </c>
      <c r="C298" s="16" t="s">
        <v>2438</v>
      </c>
      <c r="D298" s="38" t="s">
        <v>1201</v>
      </c>
      <c r="E298" s="38" t="s">
        <v>2439</v>
      </c>
      <c r="F298" s="38" t="s">
        <v>499</v>
      </c>
      <c r="G298" s="16" t="s">
        <v>2440</v>
      </c>
      <c r="H298" s="42" t="s">
        <v>2441</v>
      </c>
      <c r="I298" s="93" t="s">
        <v>2442</v>
      </c>
    </row>
    <row r="299" spans="1:9">
      <c r="A299" s="15">
        <v>417</v>
      </c>
      <c r="B299" s="16" t="s">
        <v>2445</v>
      </c>
      <c r="C299" s="16"/>
      <c r="D299" s="38" t="s">
        <v>1201</v>
      </c>
      <c r="E299" s="38" t="s">
        <v>774</v>
      </c>
      <c r="F299" s="38" t="s">
        <v>499</v>
      </c>
      <c r="G299" s="16" t="s">
        <v>2446</v>
      </c>
      <c r="H299" s="42" t="s">
        <v>2447</v>
      </c>
      <c r="I299" s="93" t="s">
        <v>2448</v>
      </c>
    </row>
    <row r="300" spans="1:9">
      <c r="A300" s="15">
        <v>40</v>
      </c>
      <c r="B300" s="16" t="s">
        <v>861</v>
      </c>
      <c r="C300" s="16" t="s">
        <v>1464</v>
      </c>
      <c r="D300" s="38" t="s">
        <v>1201</v>
      </c>
      <c r="E300" s="38" t="s">
        <v>862</v>
      </c>
      <c r="F300" s="38" t="s">
        <v>831</v>
      </c>
      <c r="G300" s="16" t="s">
        <v>863</v>
      </c>
      <c r="H300" s="42" t="s">
        <v>864</v>
      </c>
      <c r="I300" s="94" t="s">
        <v>865</v>
      </c>
    </row>
    <row r="301" spans="1:9">
      <c r="A301" s="15">
        <v>43</v>
      </c>
      <c r="B301" s="16" t="s">
        <v>880</v>
      </c>
      <c r="C301" s="16" t="s">
        <v>1469</v>
      </c>
      <c r="D301" s="38" t="s">
        <v>1201</v>
      </c>
      <c r="E301" s="38" t="s">
        <v>881</v>
      </c>
      <c r="F301" s="38" t="s">
        <v>831</v>
      </c>
      <c r="G301" s="16" t="s">
        <v>2336</v>
      </c>
      <c r="H301" s="42" t="s">
        <v>882</v>
      </c>
      <c r="I301" s="94" t="s">
        <v>883</v>
      </c>
    </row>
    <row r="302" spans="1:9">
      <c r="A302" s="15">
        <v>73</v>
      </c>
      <c r="B302" s="16" t="s">
        <v>1732</v>
      </c>
      <c r="C302" s="16" t="s">
        <v>1472</v>
      </c>
      <c r="D302" s="38" t="s">
        <v>1201</v>
      </c>
      <c r="E302" s="38" t="s">
        <v>890</v>
      </c>
      <c r="F302" s="38" t="s">
        <v>831</v>
      </c>
      <c r="G302" s="16" t="s">
        <v>891</v>
      </c>
      <c r="H302" s="42" t="s">
        <v>892</v>
      </c>
      <c r="I302" s="94" t="s">
        <v>893</v>
      </c>
    </row>
    <row r="303" spans="1:9">
      <c r="A303" s="15">
        <v>134</v>
      </c>
      <c r="B303" s="16" t="s">
        <v>869</v>
      </c>
      <c r="C303" s="16" t="s">
        <v>1466</v>
      </c>
      <c r="D303" s="38" t="s">
        <v>1201</v>
      </c>
      <c r="E303" s="38" t="s">
        <v>870</v>
      </c>
      <c r="F303" s="38" t="s">
        <v>831</v>
      </c>
      <c r="G303" s="16" t="s">
        <v>871</v>
      </c>
      <c r="H303" s="42" t="s">
        <v>872</v>
      </c>
      <c r="I303" s="94" t="s">
        <v>873</v>
      </c>
    </row>
    <row r="304" spans="1:9" ht="14.25" thickBot="1">
      <c r="A304" s="26">
        <v>157</v>
      </c>
      <c r="B304" s="19" t="s">
        <v>1726</v>
      </c>
      <c r="C304" s="19" t="s">
        <v>1463</v>
      </c>
      <c r="D304" s="48" t="s">
        <v>1201</v>
      </c>
      <c r="E304" s="48" t="s">
        <v>858</v>
      </c>
      <c r="F304" s="48" t="s">
        <v>831</v>
      </c>
      <c r="G304" s="19" t="s">
        <v>2337</v>
      </c>
      <c r="H304" s="49" t="s">
        <v>859</v>
      </c>
      <c r="I304" s="95" t="s">
        <v>860</v>
      </c>
    </row>
    <row r="305" spans="1:9">
      <c r="A305" s="11">
        <v>169</v>
      </c>
      <c r="B305" s="12" t="s">
        <v>1734</v>
      </c>
      <c r="C305" s="12" t="s">
        <v>1474</v>
      </c>
      <c r="D305" s="36" t="s">
        <v>1201</v>
      </c>
      <c r="E305" s="36" t="s">
        <v>897</v>
      </c>
      <c r="F305" s="36" t="s">
        <v>831</v>
      </c>
      <c r="G305" s="12" t="s">
        <v>2338</v>
      </c>
      <c r="H305" s="37" t="s">
        <v>898</v>
      </c>
      <c r="I305" s="102" t="s">
        <v>899</v>
      </c>
    </row>
    <row r="306" spans="1:9">
      <c r="A306" s="13">
        <v>185</v>
      </c>
      <c r="B306" s="16" t="s">
        <v>1730</v>
      </c>
      <c r="C306" s="16" t="s">
        <v>1470</v>
      </c>
      <c r="D306" s="38" t="s">
        <v>1201</v>
      </c>
      <c r="E306" s="38" t="s">
        <v>884</v>
      </c>
      <c r="F306" s="38" t="s">
        <v>831</v>
      </c>
      <c r="G306" s="16" t="s">
        <v>2339</v>
      </c>
      <c r="H306" s="42" t="s">
        <v>885</v>
      </c>
      <c r="I306" s="94" t="s">
        <v>886</v>
      </c>
    </row>
    <row r="307" spans="1:9">
      <c r="A307" s="15">
        <v>186</v>
      </c>
      <c r="B307" s="16" t="s">
        <v>1724</v>
      </c>
      <c r="C307" s="16" t="s">
        <v>1461</v>
      </c>
      <c r="D307" s="38" t="s">
        <v>1201</v>
      </c>
      <c r="E307" s="38" t="s">
        <v>852</v>
      </c>
      <c r="F307" s="38" t="s">
        <v>831</v>
      </c>
      <c r="G307" s="16" t="s">
        <v>2340</v>
      </c>
      <c r="H307" s="42" t="s">
        <v>853</v>
      </c>
      <c r="I307" s="94" t="s">
        <v>854</v>
      </c>
    </row>
    <row r="308" spans="1:9">
      <c r="A308" s="13">
        <v>192</v>
      </c>
      <c r="B308" s="16" t="s">
        <v>1727</v>
      </c>
      <c r="C308" s="16" t="s">
        <v>1465</v>
      </c>
      <c r="D308" s="38" t="s">
        <v>1201</v>
      </c>
      <c r="E308" s="38" t="s">
        <v>866</v>
      </c>
      <c r="F308" s="38" t="s">
        <v>831</v>
      </c>
      <c r="G308" s="16" t="s">
        <v>2341</v>
      </c>
      <c r="H308" s="42" t="s">
        <v>867</v>
      </c>
      <c r="I308" s="94" t="s">
        <v>868</v>
      </c>
    </row>
    <row r="309" spans="1:9">
      <c r="A309" s="15">
        <v>193</v>
      </c>
      <c r="B309" s="16" t="s">
        <v>1718</v>
      </c>
      <c r="C309" s="16" t="s">
        <v>1455</v>
      </c>
      <c r="D309" s="38" t="s">
        <v>1201</v>
      </c>
      <c r="E309" s="38" t="s">
        <v>834</v>
      </c>
      <c r="F309" s="38" t="s">
        <v>831</v>
      </c>
      <c r="G309" s="16" t="s">
        <v>2342</v>
      </c>
      <c r="H309" s="42" t="s">
        <v>835</v>
      </c>
      <c r="I309" s="94" t="s">
        <v>836</v>
      </c>
    </row>
    <row r="310" spans="1:9">
      <c r="A310" s="15">
        <v>196</v>
      </c>
      <c r="B310" s="16" t="s">
        <v>1722</v>
      </c>
      <c r="C310" s="23" t="s">
        <v>1459</v>
      </c>
      <c r="D310" s="45" t="s">
        <v>1201</v>
      </c>
      <c r="E310" s="45" t="s">
        <v>846</v>
      </c>
      <c r="F310" s="45" t="s">
        <v>831</v>
      </c>
      <c r="G310" s="16" t="s">
        <v>2343</v>
      </c>
      <c r="H310" s="42" t="s">
        <v>847</v>
      </c>
      <c r="I310" s="94" t="s">
        <v>848</v>
      </c>
    </row>
    <row r="311" spans="1:9">
      <c r="A311" s="15">
        <v>204</v>
      </c>
      <c r="B311" s="16" t="s">
        <v>1735</v>
      </c>
      <c r="C311" s="16" t="s">
        <v>1475</v>
      </c>
      <c r="D311" s="38" t="s">
        <v>1201</v>
      </c>
      <c r="E311" s="38" t="s">
        <v>900</v>
      </c>
      <c r="F311" s="38" t="s">
        <v>831</v>
      </c>
      <c r="G311" s="16" t="s">
        <v>2344</v>
      </c>
      <c r="H311" s="42" t="s">
        <v>901</v>
      </c>
      <c r="I311" s="94" t="s">
        <v>902</v>
      </c>
    </row>
    <row r="312" spans="1:9">
      <c r="A312" s="15">
        <v>208</v>
      </c>
      <c r="B312" s="16" t="s">
        <v>1733</v>
      </c>
      <c r="C312" s="23" t="s">
        <v>1473</v>
      </c>
      <c r="D312" s="45" t="s">
        <v>1201</v>
      </c>
      <c r="E312" s="45" t="s">
        <v>894</v>
      </c>
      <c r="F312" s="45" t="s">
        <v>831</v>
      </c>
      <c r="G312" s="16" t="s">
        <v>2345</v>
      </c>
      <c r="H312" s="42" t="s">
        <v>895</v>
      </c>
      <c r="I312" s="93" t="s">
        <v>896</v>
      </c>
    </row>
    <row r="313" spans="1:9">
      <c r="A313" s="15">
        <v>242</v>
      </c>
      <c r="B313" s="16" t="s">
        <v>1719</v>
      </c>
      <c r="C313" s="16" t="s">
        <v>1456</v>
      </c>
      <c r="D313" s="38" t="s">
        <v>1201</v>
      </c>
      <c r="E313" s="38" t="s">
        <v>837</v>
      </c>
      <c r="F313" s="38" t="s">
        <v>831</v>
      </c>
      <c r="G313" s="16" t="s">
        <v>2346</v>
      </c>
      <c r="H313" s="42" t="s">
        <v>838</v>
      </c>
      <c r="I313" s="94" t="s">
        <v>839</v>
      </c>
    </row>
    <row r="314" spans="1:9">
      <c r="A314" s="15">
        <v>257</v>
      </c>
      <c r="B314" s="16" t="s">
        <v>1736</v>
      </c>
      <c r="C314" s="16" t="s">
        <v>1476</v>
      </c>
      <c r="D314" s="38" t="s">
        <v>1201</v>
      </c>
      <c r="E314" s="38" t="s">
        <v>903</v>
      </c>
      <c r="F314" s="38" t="s">
        <v>831</v>
      </c>
      <c r="G314" s="16" t="s">
        <v>2347</v>
      </c>
      <c r="H314" s="42" t="s">
        <v>904</v>
      </c>
      <c r="I314" s="94" t="s">
        <v>905</v>
      </c>
    </row>
    <row r="315" spans="1:9">
      <c r="A315" s="15">
        <v>261</v>
      </c>
      <c r="B315" s="16" t="s">
        <v>1717</v>
      </c>
      <c r="C315" s="16" t="s">
        <v>1454</v>
      </c>
      <c r="D315" s="38" t="s">
        <v>1201</v>
      </c>
      <c r="E315" s="38" t="s">
        <v>830</v>
      </c>
      <c r="F315" s="38" t="s">
        <v>831</v>
      </c>
      <c r="G315" s="16" t="s">
        <v>2348</v>
      </c>
      <c r="H315" s="42" t="s">
        <v>832</v>
      </c>
      <c r="I315" s="94" t="s">
        <v>833</v>
      </c>
    </row>
    <row r="316" spans="1:9">
      <c r="A316" s="15">
        <v>271</v>
      </c>
      <c r="B316" s="16" t="s">
        <v>1728</v>
      </c>
      <c r="C316" s="16" t="s">
        <v>1467</v>
      </c>
      <c r="D316" s="38" t="s">
        <v>1201</v>
      </c>
      <c r="E316" s="38" t="s">
        <v>874</v>
      </c>
      <c r="F316" s="38" t="s">
        <v>831</v>
      </c>
      <c r="G316" s="16" t="s">
        <v>2349</v>
      </c>
      <c r="H316" s="42" t="s">
        <v>875</v>
      </c>
      <c r="I316" s="94" t="s">
        <v>876</v>
      </c>
    </row>
    <row r="317" spans="1:9">
      <c r="A317" s="15">
        <v>272</v>
      </c>
      <c r="B317" s="16" t="s">
        <v>1723</v>
      </c>
      <c r="C317" s="16" t="s">
        <v>1460</v>
      </c>
      <c r="D317" s="38" t="s">
        <v>1201</v>
      </c>
      <c r="E317" s="38" t="s">
        <v>849</v>
      </c>
      <c r="F317" s="38" t="s">
        <v>831</v>
      </c>
      <c r="G317" s="16" t="s">
        <v>2350</v>
      </c>
      <c r="H317" s="42" t="s">
        <v>850</v>
      </c>
      <c r="I317" s="93" t="s">
        <v>851</v>
      </c>
    </row>
    <row r="318" spans="1:9">
      <c r="A318" s="15">
        <v>277</v>
      </c>
      <c r="B318" s="16" t="s">
        <v>1725</v>
      </c>
      <c r="C318" s="16" t="s">
        <v>1462</v>
      </c>
      <c r="D318" s="38" t="s">
        <v>1201</v>
      </c>
      <c r="E318" s="38" t="s">
        <v>855</v>
      </c>
      <c r="F318" s="38" t="s">
        <v>831</v>
      </c>
      <c r="G318" s="16" t="s">
        <v>2351</v>
      </c>
      <c r="H318" s="42" t="s">
        <v>856</v>
      </c>
      <c r="I318" s="93" t="s">
        <v>857</v>
      </c>
    </row>
    <row r="319" spans="1:9">
      <c r="A319" s="15">
        <v>278</v>
      </c>
      <c r="B319" s="16" t="s">
        <v>1731</v>
      </c>
      <c r="C319" s="23" t="s">
        <v>1471</v>
      </c>
      <c r="D319" s="45" t="s">
        <v>1201</v>
      </c>
      <c r="E319" s="45" t="s">
        <v>887</v>
      </c>
      <c r="F319" s="45" t="s">
        <v>831</v>
      </c>
      <c r="G319" s="16" t="s">
        <v>2352</v>
      </c>
      <c r="H319" s="42" t="s">
        <v>888</v>
      </c>
      <c r="I319" s="93" t="s">
        <v>889</v>
      </c>
    </row>
    <row r="320" spans="1:9">
      <c r="A320" s="15">
        <v>288</v>
      </c>
      <c r="B320" s="16" t="s">
        <v>1721</v>
      </c>
      <c r="C320" s="16" t="s">
        <v>1458</v>
      </c>
      <c r="D320" s="38" t="s">
        <v>1201</v>
      </c>
      <c r="E320" s="38" t="s">
        <v>843</v>
      </c>
      <c r="F320" s="38" t="s">
        <v>831</v>
      </c>
      <c r="G320" s="16" t="s">
        <v>2353</v>
      </c>
      <c r="H320" s="42" t="s">
        <v>844</v>
      </c>
      <c r="I320" s="94" t="s">
        <v>845</v>
      </c>
    </row>
    <row r="321" spans="1:9">
      <c r="A321" s="15">
        <v>295</v>
      </c>
      <c r="B321" s="16" t="s">
        <v>1720</v>
      </c>
      <c r="C321" s="23" t="s">
        <v>1457</v>
      </c>
      <c r="D321" s="45" t="s">
        <v>1201</v>
      </c>
      <c r="E321" s="45" t="s">
        <v>840</v>
      </c>
      <c r="F321" s="45" t="s">
        <v>831</v>
      </c>
      <c r="G321" s="16" t="s">
        <v>2354</v>
      </c>
      <c r="H321" s="42" t="s">
        <v>841</v>
      </c>
      <c r="I321" s="94" t="s">
        <v>842</v>
      </c>
    </row>
    <row r="322" spans="1:9">
      <c r="A322" s="15">
        <v>382</v>
      </c>
      <c r="B322" s="16" t="s">
        <v>1729</v>
      </c>
      <c r="C322" s="16" t="s">
        <v>1468</v>
      </c>
      <c r="D322" s="38" t="s">
        <v>1201</v>
      </c>
      <c r="E322" s="38" t="s">
        <v>877</v>
      </c>
      <c r="F322" s="38" t="s">
        <v>831</v>
      </c>
      <c r="G322" s="16" t="s">
        <v>2355</v>
      </c>
      <c r="H322" s="42" t="s">
        <v>878</v>
      </c>
      <c r="I322" s="94" t="s">
        <v>879</v>
      </c>
    </row>
    <row r="323" spans="1:9">
      <c r="A323" s="15">
        <v>402</v>
      </c>
      <c r="B323" s="16" t="s">
        <v>1984</v>
      </c>
      <c r="C323" s="23" t="s">
        <v>2356</v>
      </c>
      <c r="D323" s="45" t="s">
        <v>1201</v>
      </c>
      <c r="E323" s="45" t="s">
        <v>2357</v>
      </c>
      <c r="F323" s="45" t="s">
        <v>831</v>
      </c>
      <c r="G323" s="16" t="s">
        <v>2358</v>
      </c>
      <c r="H323" s="42" t="s">
        <v>2359</v>
      </c>
      <c r="I323" s="94" t="s">
        <v>2360</v>
      </c>
    </row>
    <row r="324" spans="1:9">
      <c r="A324" s="15">
        <v>154</v>
      </c>
      <c r="B324" s="16" t="s">
        <v>1666</v>
      </c>
      <c r="C324" s="16" t="s">
        <v>1363</v>
      </c>
      <c r="D324" s="38" t="s">
        <v>1201</v>
      </c>
      <c r="E324" s="38" t="s">
        <v>490</v>
      </c>
      <c r="F324" s="38" t="s">
        <v>486</v>
      </c>
      <c r="G324" s="16" t="s">
        <v>2361</v>
      </c>
      <c r="H324" s="42" t="s">
        <v>491</v>
      </c>
      <c r="I324" s="94" t="s">
        <v>492</v>
      </c>
    </row>
    <row r="325" spans="1:9">
      <c r="A325" s="15">
        <v>184</v>
      </c>
      <c r="B325" s="16" t="s">
        <v>1665</v>
      </c>
      <c r="C325" s="16" t="s">
        <v>1362</v>
      </c>
      <c r="D325" s="38" t="s">
        <v>1201</v>
      </c>
      <c r="E325" s="38" t="s">
        <v>487</v>
      </c>
      <c r="F325" s="38" t="s">
        <v>486</v>
      </c>
      <c r="G325" s="16" t="s">
        <v>2362</v>
      </c>
      <c r="H325" s="42" t="s">
        <v>488</v>
      </c>
      <c r="I325" s="94" t="s">
        <v>489</v>
      </c>
    </row>
    <row r="326" spans="1:9">
      <c r="A326" s="15">
        <v>395</v>
      </c>
      <c r="B326" s="16" t="s">
        <v>493</v>
      </c>
      <c r="C326" s="16" t="s">
        <v>1364</v>
      </c>
      <c r="D326" s="38" t="s">
        <v>1201</v>
      </c>
      <c r="E326" s="38" t="s">
        <v>2363</v>
      </c>
      <c r="F326" s="38" t="s">
        <v>486</v>
      </c>
      <c r="G326" s="16" t="s">
        <v>2364</v>
      </c>
      <c r="H326" s="42" t="s">
        <v>2365</v>
      </c>
      <c r="I326" s="93" t="s">
        <v>2366</v>
      </c>
    </row>
    <row r="327" spans="1:9">
      <c r="A327" s="15">
        <v>156</v>
      </c>
      <c r="B327" s="16" t="s">
        <v>1610</v>
      </c>
      <c r="C327" s="16" t="s">
        <v>1277</v>
      </c>
      <c r="D327" s="38" t="s">
        <v>1201</v>
      </c>
      <c r="E327" s="38" t="s">
        <v>178</v>
      </c>
      <c r="F327" s="38" t="s">
        <v>179</v>
      </c>
      <c r="G327" s="16" t="s">
        <v>2367</v>
      </c>
      <c r="H327" s="42" t="s">
        <v>180</v>
      </c>
      <c r="I327" s="93" t="s">
        <v>181</v>
      </c>
    </row>
    <row r="328" spans="1:9">
      <c r="A328" s="15">
        <v>234</v>
      </c>
      <c r="B328" s="16" t="s">
        <v>1612</v>
      </c>
      <c r="C328" s="16" t="s">
        <v>1279</v>
      </c>
      <c r="D328" s="38" t="s">
        <v>1201</v>
      </c>
      <c r="E328" s="38" t="s">
        <v>185</v>
      </c>
      <c r="F328" s="38" t="s">
        <v>179</v>
      </c>
      <c r="G328" s="16" t="s">
        <v>2368</v>
      </c>
      <c r="H328" s="42" t="s">
        <v>186</v>
      </c>
      <c r="I328" s="93" t="s">
        <v>187</v>
      </c>
    </row>
    <row r="329" spans="1:9">
      <c r="A329" s="15">
        <v>332</v>
      </c>
      <c r="B329" s="16" t="s">
        <v>1611</v>
      </c>
      <c r="C329" s="16" t="s">
        <v>1278</v>
      </c>
      <c r="D329" s="38" t="s">
        <v>1201</v>
      </c>
      <c r="E329" s="38" t="s">
        <v>182</v>
      </c>
      <c r="F329" s="38" t="s">
        <v>179</v>
      </c>
      <c r="G329" s="16" t="s">
        <v>2369</v>
      </c>
      <c r="H329" s="42" t="s">
        <v>183</v>
      </c>
      <c r="I329" s="94" t="s">
        <v>184</v>
      </c>
    </row>
    <row r="330" spans="1:9">
      <c r="A330" s="15">
        <v>415</v>
      </c>
      <c r="B330" s="16" t="s">
        <v>2065</v>
      </c>
      <c r="C330" s="16" t="s">
        <v>2370</v>
      </c>
      <c r="D330" s="38" t="s">
        <v>1201</v>
      </c>
      <c r="E330" s="38" t="s">
        <v>2371</v>
      </c>
      <c r="F330" s="38" t="s">
        <v>179</v>
      </c>
      <c r="G330" s="16" t="s">
        <v>2372</v>
      </c>
      <c r="H330" s="42" t="s">
        <v>2373</v>
      </c>
      <c r="I330" s="94" t="s">
        <v>2374</v>
      </c>
    </row>
    <row r="331" spans="1:9">
      <c r="A331" s="15">
        <v>359</v>
      </c>
      <c r="B331" s="16" t="s">
        <v>1560</v>
      </c>
      <c r="C331" s="16" t="s">
        <v>1224</v>
      </c>
      <c r="D331" s="38" t="s">
        <v>2066</v>
      </c>
      <c r="E331" s="38" t="s">
        <v>11</v>
      </c>
      <c r="F331" s="38" t="s">
        <v>12</v>
      </c>
      <c r="G331" s="16" t="s">
        <v>2375</v>
      </c>
      <c r="H331" s="42" t="s">
        <v>13</v>
      </c>
      <c r="I331" s="93" t="s">
        <v>14</v>
      </c>
    </row>
    <row r="332" spans="1:9">
      <c r="A332" s="15">
        <v>397</v>
      </c>
      <c r="B332" s="30" t="s">
        <v>1561</v>
      </c>
      <c r="C332" s="30" t="s">
        <v>1225</v>
      </c>
      <c r="D332" s="38" t="s">
        <v>2066</v>
      </c>
      <c r="E332" s="38" t="s">
        <v>2376</v>
      </c>
      <c r="F332" s="38" t="s">
        <v>12</v>
      </c>
      <c r="G332" s="16" t="s">
        <v>2377</v>
      </c>
      <c r="H332" s="43" t="s">
        <v>2378</v>
      </c>
      <c r="I332" s="94" t="s">
        <v>2379</v>
      </c>
    </row>
    <row r="333" spans="1:9">
      <c r="A333" s="15">
        <v>403</v>
      </c>
      <c r="B333" s="16" t="s">
        <v>2380</v>
      </c>
      <c r="C333" s="16" t="s">
        <v>2381</v>
      </c>
      <c r="D333" s="38" t="s">
        <v>2066</v>
      </c>
      <c r="E333" s="38" t="s">
        <v>2382</v>
      </c>
      <c r="F333" s="38" t="s">
        <v>12</v>
      </c>
      <c r="G333" s="16" t="s">
        <v>2383</v>
      </c>
      <c r="H333" s="42" t="s">
        <v>2384</v>
      </c>
      <c r="I333" s="94" t="s">
        <v>2385</v>
      </c>
    </row>
    <row r="334" spans="1:9">
      <c r="A334" s="15">
        <v>399</v>
      </c>
      <c r="B334" s="16" t="s">
        <v>1580</v>
      </c>
      <c r="C334" s="16" t="s">
        <v>1244</v>
      </c>
      <c r="D334" s="38" t="s">
        <v>2066</v>
      </c>
      <c r="E334" s="38" t="s">
        <v>2386</v>
      </c>
      <c r="F334" s="38" t="s">
        <v>2387</v>
      </c>
      <c r="G334" s="16" t="s">
        <v>2388</v>
      </c>
      <c r="H334" s="42" t="s">
        <v>2389</v>
      </c>
      <c r="I334" s="94" t="s">
        <v>2390</v>
      </c>
    </row>
    <row r="335" spans="1:9">
      <c r="A335" s="15">
        <v>385</v>
      </c>
      <c r="B335" s="16" t="s">
        <v>1564</v>
      </c>
      <c r="C335" s="16" t="s">
        <v>1228</v>
      </c>
      <c r="D335" s="38" t="s">
        <v>2066</v>
      </c>
      <c r="E335" s="38" t="s">
        <v>23</v>
      </c>
      <c r="F335" s="38" t="s">
        <v>24</v>
      </c>
      <c r="G335" s="16" t="s">
        <v>2391</v>
      </c>
      <c r="H335" s="42" t="s">
        <v>25</v>
      </c>
      <c r="I335" s="94" t="s">
        <v>26</v>
      </c>
    </row>
    <row r="336" spans="1:9">
      <c r="A336" s="15">
        <v>349</v>
      </c>
      <c r="B336" s="16" t="s">
        <v>1577</v>
      </c>
      <c r="C336" s="16" t="s">
        <v>1241</v>
      </c>
      <c r="D336" s="38" t="s">
        <v>2066</v>
      </c>
      <c r="E336" s="38" t="s">
        <v>65</v>
      </c>
      <c r="F336" s="38" t="s">
        <v>66</v>
      </c>
      <c r="G336" s="16" t="s">
        <v>2392</v>
      </c>
      <c r="H336" s="42" t="s">
        <v>67</v>
      </c>
      <c r="I336" s="94" t="s">
        <v>68</v>
      </c>
    </row>
    <row r="337" spans="1:9">
      <c r="A337" s="15">
        <v>209</v>
      </c>
      <c r="B337" s="16" t="s">
        <v>1575</v>
      </c>
      <c r="C337" s="16" t="s">
        <v>1239</v>
      </c>
      <c r="D337" s="38" t="s">
        <v>2066</v>
      </c>
      <c r="E337" s="38" t="s">
        <v>59</v>
      </c>
      <c r="F337" s="38" t="s">
        <v>56</v>
      </c>
      <c r="G337" s="16" t="s">
        <v>2393</v>
      </c>
      <c r="H337" s="42" t="s">
        <v>60</v>
      </c>
      <c r="I337" s="94" t="s">
        <v>61</v>
      </c>
    </row>
    <row r="338" spans="1:9">
      <c r="A338" s="15">
        <v>210</v>
      </c>
      <c r="B338" s="16" t="s">
        <v>1576</v>
      </c>
      <c r="C338" s="23" t="s">
        <v>1240</v>
      </c>
      <c r="D338" s="45" t="s">
        <v>2066</v>
      </c>
      <c r="E338" s="45" t="s">
        <v>62</v>
      </c>
      <c r="F338" s="45" t="s">
        <v>56</v>
      </c>
      <c r="G338" s="16" t="s">
        <v>2394</v>
      </c>
      <c r="H338" s="42" t="s">
        <v>63</v>
      </c>
      <c r="I338" s="94" t="s">
        <v>64</v>
      </c>
    </row>
    <row r="339" spans="1:9">
      <c r="A339" s="15">
        <v>321</v>
      </c>
      <c r="B339" s="24" t="s">
        <v>1574</v>
      </c>
      <c r="C339" s="24" t="s">
        <v>1238</v>
      </c>
      <c r="D339" s="38" t="s">
        <v>2066</v>
      </c>
      <c r="E339" s="38" t="s">
        <v>55</v>
      </c>
      <c r="F339" s="38" t="s">
        <v>56</v>
      </c>
      <c r="G339" s="16" t="s">
        <v>2395</v>
      </c>
      <c r="H339" s="42" t="s">
        <v>57</v>
      </c>
      <c r="I339" s="94" t="s">
        <v>58</v>
      </c>
    </row>
    <row r="340" spans="1:9">
      <c r="A340" s="15">
        <v>413</v>
      </c>
      <c r="B340" s="16" t="s">
        <v>2396</v>
      </c>
      <c r="C340" s="16" t="s">
        <v>2397</v>
      </c>
      <c r="D340" s="38" t="s">
        <v>2066</v>
      </c>
      <c r="E340" s="38" t="s">
        <v>2398</v>
      </c>
      <c r="F340" s="38" t="s">
        <v>2399</v>
      </c>
      <c r="G340" s="16" t="s">
        <v>2400</v>
      </c>
      <c r="H340" s="42" t="s">
        <v>2401</v>
      </c>
      <c r="I340" s="94" t="s">
        <v>2402</v>
      </c>
    </row>
    <row r="341" spans="1:9">
      <c r="A341" s="15">
        <v>305</v>
      </c>
      <c r="B341" s="16" t="s">
        <v>1578</v>
      </c>
      <c r="C341" s="16" t="s">
        <v>1242</v>
      </c>
      <c r="D341" s="38" t="s">
        <v>2066</v>
      </c>
      <c r="E341" s="38" t="s">
        <v>69</v>
      </c>
      <c r="F341" s="38" t="s">
        <v>70</v>
      </c>
      <c r="G341" s="16" t="s">
        <v>2403</v>
      </c>
      <c r="H341" s="42" t="s">
        <v>71</v>
      </c>
      <c r="I341" s="93" t="s">
        <v>72</v>
      </c>
    </row>
    <row r="342" spans="1:9">
      <c r="A342" s="15">
        <v>337</v>
      </c>
      <c r="B342" s="16" t="s">
        <v>1579</v>
      </c>
      <c r="C342" s="16" t="s">
        <v>1243</v>
      </c>
      <c r="D342" s="38" t="s">
        <v>2066</v>
      </c>
      <c r="E342" s="38" t="s">
        <v>73</v>
      </c>
      <c r="F342" s="38" t="s">
        <v>70</v>
      </c>
      <c r="G342" s="16" t="s">
        <v>2404</v>
      </c>
      <c r="H342" s="42" t="s">
        <v>74</v>
      </c>
      <c r="I342" s="94" t="s">
        <v>75</v>
      </c>
    </row>
    <row r="343" spans="1:9">
      <c r="A343" s="15">
        <v>394</v>
      </c>
      <c r="B343" s="16" t="s">
        <v>1562</v>
      </c>
      <c r="C343" s="16" t="s">
        <v>1226</v>
      </c>
      <c r="D343" s="38" t="s">
        <v>2066</v>
      </c>
      <c r="E343" s="38" t="s">
        <v>15</v>
      </c>
      <c r="F343" s="38" t="s">
        <v>16</v>
      </c>
      <c r="G343" s="16" t="s">
        <v>2405</v>
      </c>
      <c r="H343" s="42" t="s">
        <v>17</v>
      </c>
      <c r="I343" s="94" t="s">
        <v>18</v>
      </c>
    </row>
    <row r="344" spans="1:9">
      <c r="A344" s="15">
        <v>401</v>
      </c>
      <c r="B344" s="16" t="s">
        <v>2406</v>
      </c>
      <c r="C344" s="16" t="s">
        <v>2407</v>
      </c>
      <c r="D344" s="38" t="s">
        <v>2066</v>
      </c>
      <c r="E344" s="38" t="s">
        <v>2408</v>
      </c>
      <c r="F344" s="38" t="s">
        <v>16</v>
      </c>
      <c r="G344" s="16" t="s">
        <v>2409</v>
      </c>
      <c r="H344" s="42" t="s">
        <v>2410</v>
      </c>
      <c r="I344" s="94" t="s">
        <v>2411</v>
      </c>
    </row>
    <row r="345" spans="1:9">
      <c r="A345" s="15">
        <v>419</v>
      </c>
      <c r="B345" s="16" t="s">
        <v>2449</v>
      </c>
      <c r="C345" s="16"/>
      <c r="D345" s="38" t="s">
        <v>2066</v>
      </c>
      <c r="E345" s="38" t="s">
        <v>2450</v>
      </c>
      <c r="F345" s="38" t="s">
        <v>16</v>
      </c>
      <c r="G345" s="16" t="s">
        <v>2451</v>
      </c>
      <c r="H345" s="42" t="s">
        <v>2452</v>
      </c>
      <c r="I345" s="94" t="s">
        <v>2453</v>
      </c>
    </row>
    <row r="346" spans="1:9">
      <c r="A346" s="15">
        <v>345</v>
      </c>
      <c r="B346" s="16" t="s">
        <v>1563</v>
      </c>
      <c r="C346" s="16" t="s">
        <v>1227</v>
      </c>
      <c r="D346" s="38" t="s">
        <v>2066</v>
      </c>
      <c r="E346" s="38" t="s">
        <v>19</v>
      </c>
      <c r="F346" s="38" t="s">
        <v>20</v>
      </c>
      <c r="G346" s="16" t="s">
        <v>2412</v>
      </c>
      <c r="H346" s="42" t="s">
        <v>21</v>
      </c>
      <c r="I346" s="94" t="s">
        <v>22</v>
      </c>
    </row>
    <row r="347" spans="1:9">
      <c r="A347" s="15">
        <v>409</v>
      </c>
      <c r="B347" s="16" t="s">
        <v>2413</v>
      </c>
      <c r="C347" s="16" t="s">
        <v>1812</v>
      </c>
      <c r="D347" s="38" t="s">
        <v>2066</v>
      </c>
      <c r="E347" s="38" t="s">
        <v>1813</v>
      </c>
      <c r="F347" s="38" t="s">
        <v>20</v>
      </c>
      <c r="G347" s="16" t="s">
        <v>1814</v>
      </c>
      <c r="H347" s="42" t="s">
        <v>1815</v>
      </c>
      <c r="I347" s="94" t="s">
        <v>1816</v>
      </c>
    </row>
    <row r="348" spans="1:9">
      <c r="A348" s="15">
        <v>418</v>
      </c>
      <c r="B348" s="16" t="s">
        <v>2444</v>
      </c>
      <c r="C348" s="16"/>
      <c r="D348" s="38" t="s">
        <v>2066</v>
      </c>
      <c r="E348" s="38" t="s">
        <v>2454</v>
      </c>
      <c r="F348" s="38" t="s">
        <v>20</v>
      </c>
      <c r="G348" s="16" t="s">
        <v>2455</v>
      </c>
      <c r="H348" s="42" t="s">
        <v>2456</v>
      </c>
      <c r="I348" s="94" t="s">
        <v>2457</v>
      </c>
    </row>
    <row r="349" spans="1:9">
      <c r="A349" s="15">
        <v>327</v>
      </c>
      <c r="B349" s="16" t="s">
        <v>1571</v>
      </c>
      <c r="C349" s="16" t="s">
        <v>1235</v>
      </c>
      <c r="D349" s="38" t="s">
        <v>2066</v>
      </c>
      <c r="E349" s="38" t="s">
        <v>46</v>
      </c>
      <c r="F349" s="38" t="s">
        <v>27</v>
      </c>
      <c r="G349" s="16" t="s">
        <v>2414</v>
      </c>
      <c r="H349" s="42" t="s">
        <v>47</v>
      </c>
      <c r="I349" s="93" t="s">
        <v>48</v>
      </c>
    </row>
    <row r="350" spans="1:9">
      <c r="A350" s="15">
        <v>335</v>
      </c>
      <c r="B350" s="16" t="s">
        <v>1569</v>
      </c>
      <c r="C350" s="16" t="s">
        <v>1233</v>
      </c>
      <c r="D350" s="38" t="s">
        <v>2066</v>
      </c>
      <c r="E350" s="38" t="s">
        <v>40</v>
      </c>
      <c r="F350" s="38" t="s">
        <v>27</v>
      </c>
      <c r="G350" s="16" t="s">
        <v>2415</v>
      </c>
      <c r="H350" s="42" t="s">
        <v>41</v>
      </c>
      <c r="I350" s="94" t="s">
        <v>42</v>
      </c>
    </row>
    <row r="351" spans="1:9">
      <c r="A351" s="15">
        <v>340</v>
      </c>
      <c r="B351" s="16" t="s">
        <v>1570</v>
      </c>
      <c r="C351" s="16" t="s">
        <v>1234</v>
      </c>
      <c r="D351" s="38" t="s">
        <v>2066</v>
      </c>
      <c r="E351" s="38" t="s">
        <v>43</v>
      </c>
      <c r="F351" s="38" t="s">
        <v>27</v>
      </c>
      <c r="G351" s="16" t="s">
        <v>2416</v>
      </c>
      <c r="H351" s="42" t="s">
        <v>44</v>
      </c>
      <c r="I351" s="94" t="s">
        <v>45</v>
      </c>
    </row>
    <row r="352" spans="1:9">
      <c r="A352" s="31">
        <v>350</v>
      </c>
      <c r="B352" s="32" t="s">
        <v>1572</v>
      </c>
      <c r="C352" s="32" t="s">
        <v>1236</v>
      </c>
      <c r="D352" s="44" t="s">
        <v>2066</v>
      </c>
      <c r="E352" s="44" t="s">
        <v>49</v>
      </c>
      <c r="F352" s="44" t="s">
        <v>27</v>
      </c>
      <c r="G352" s="56" t="s">
        <v>2417</v>
      </c>
      <c r="H352" s="57" t="s">
        <v>50</v>
      </c>
      <c r="I352" s="108" t="s">
        <v>51</v>
      </c>
    </row>
    <row r="353" spans="1:9" ht="14.25" thickBot="1">
      <c r="A353" s="33">
        <v>357</v>
      </c>
      <c r="B353" s="34" t="s">
        <v>1567</v>
      </c>
      <c r="C353" s="34" t="s">
        <v>1231</v>
      </c>
      <c r="D353" s="58" t="s">
        <v>2066</v>
      </c>
      <c r="E353" s="59" t="s">
        <v>34</v>
      </c>
      <c r="F353" s="60" t="s">
        <v>27</v>
      </c>
      <c r="G353" s="61" t="s">
        <v>2418</v>
      </c>
      <c r="H353" s="62" t="s">
        <v>35</v>
      </c>
      <c r="I353" s="109" t="s">
        <v>36</v>
      </c>
    </row>
    <row r="354" spans="1:9" ht="14.25" thickTop="1">
      <c r="A354" s="110">
        <v>361</v>
      </c>
      <c r="B354" s="110" t="s">
        <v>1573</v>
      </c>
      <c r="C354" s="110" t="s">
        <v>1237</v>
      </c>
      <c r="D354" s="110" t="s">
        <v>2066</v>
      </c>
      <c r="E354" s="110" t="s">
        <v>52</v>
      </c>
      <c r="F354" s="110" t="s">
        <v>27</v>
      </c>
      <c r="G354" s="110" t="s">
        <v>2419</v>
      </c>
      <c r="H354" s="111" t="s">
        <v>53</v>
      </c>
      <c r="I354" s="111" t="s">
        <v>54</v>
      </c>
    </row>
    <row r="355" spans="1:9">
      <c r="A355" s="110">
        <v>376</v>
      </c>
      <c r="B355" s="110" t="s">
        <v>1565</v>
      </c>
      <c r="C355" s="110" t="s">
        <v>1229</v>
      </c>
      <c r="D355" s="110" t="s">
        <v>2066</v>
      </c>
      <c r="E355" s="110" t="s">
        <v>28</v>
      </c>
      <c r="F355" s="110" t="s">
        <v>27</v>
      </c>
      <c r="G355" s="110" t="s">
        <v>2420</v>
      </c>
      <c r="H355" s="111" t="s">
        <v>29</v>
      </c>
      <c r="I355" s="111" t="s">
        <v>30</v>
      </c>
    </row>
    <row r="356" spans="1:9">
      <c r="A356" s="110">
        <v>386</v>
      </c>
      <c r="B356" s="110" t="s">
        <v>1566</v>
      </c>
      <c r="C356" s="110" t="s">
        <v>1230</v>
      </c>
      <c r="D356" s="110" t="s">
        <v>2066</v>
      </c>
      <c r="E356" s="110" t="s">
        <v>31</v>
      </c>
      <c r="F356" s="110" t="s">
        <v>27</v>
      </c>
      <c r="G356" s="110" t="s">
        <v>2421</v>
      </c>
      <c r="H356" s="111" t="s">
        <v>32</v>
      </c>
      <c r="I356" s="111" t="s">
        <v>33</v>
      </c>
    </row>
    <row r="357" spans="1:9">
      <c r="A357" s="110">
        <v>391</v>
      </c>
      <c r="B357" s="110" t="s">
        <v>1568</v>
      </c>
      <c r="C357" s="110" t="s">
        <v>1232</v>
      </c>
      <c r="D357" s="110" t="s">
        <v>2066</v>
      </c>
      <c r="E357" s="110" t="s">
        <v>37</v>
      </c>
      <c r="F357" s="110" t="s">
        <v>27</v>
      </c>
      <c r="G357" s="110" t="s">
        <v>2422</v>
      </c>
      <c r="H357" s="111" t="s">
        <v>38</v>
      </c>
      <c r="I357" s="111" t="s">
        <v>39</v>
      </c>
    </row>
  </sheetData>
  <phoneticPr fontId="8"/>
  <conditionalFormatting sqref="A1:I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店舗リスト取込">
                <anchor moveWithCells="1" sizeWithCells="1">
                  <from>
                    <xdr:col>9</xdr:col>
                    <xdr:colOff>238125</xdr:colOff>
                    <xdr:row>1</xdr:row>
                    <xdr:rowOff>28575</xdr:rowOff>
                  </from>
                  <to>
                    <xdr:col>10</xdr:col>
                    <xdr:colOff>571500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4</vt:i4>
      </vt:variant>
    </vt:vector>
  </HeadingPairs>
  <TitlesOfParts>
    <vt:vector size="14" baseType="lpstr">
      <vt:lpstr>受注csv取込</vt:lpstr>
      <vt:lpstr>ダブリ確認</vt:lpstr>
      <vt:lpstr>伝票訂正用</vt:lpstr>
      <vt:lpstr>二次在庫数確認</vt:lpstr>
      <vt:lpstr>二次データ処理</vt:lpstr>
      <vt:lpstr>転送確認（丸健）</vt:lpstr>
      <vt:lpstr>転送確認（マツモト）</vt:lpstr>
      <vt:lpstr>転送確認（MKL）</vt:lpstr>
      <vt:lpstr>商品リスト</vt:lpstr>
      <vt:lpstr>店番リスト</vt:lpstr>
      <vt:lpstr>'転送確認（MKL）'!Print_Area</vt:lpstr>
      <vt:lpstr>'転送確認（マツモト）'!Print_Area</vt:lpstr>
      <vt:lpstr>'転送確認（丸健）'!Print_Area</vt:lpstr>
      <vt:lpstr>二次データ処理!Print_Area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Kinichi</dc:creator>
  <cp:lastModifiedBy>福岡金一</cp:lastModifiedBy>
  <cp:lastPrinted>2016-06-02T01:39:07Z</cp:lastPrinted>
  <dcterms:created xsi:type="dcterms:W3CDTF">2006-09-16T00:00:00Z</dcterms:created>
  <dcterms:modified xsi:type="dcterms:W3CDTF">2016-06-06T06:32:41Z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68b75cbc-73ad-4c34-bcbb-da610d6c685b</vt:lpwstr>
  </property>
</Properties>
</file>