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(GOD)Web-EDI\"/>
    </mc:Choice>
  </mc:AlternateContent>
  <bookViews>
    <workbookView xWindow="240" yWindow="105" windowWidth="14805" windowHeight="8010"/>
  </bookViews>
  <sheets>
    <sheet name="入出庫記録（二次製品）" sheetId="13" r:id="rId1"/>
    <sheet name="入出庫記録（一輪車）" sheetId="24" r:id="rId2"/>
    <sheet name="入出庫記録 (砂バラス)" sheetId="23" r:id="rId3"/>
    <sheet name="二次製品納品書入力" sheetId="25" r:id="rId4"/>
    <sheet name="入出庫記録" sheetId="26" r:id="rId5"/>
  </sheets>
  <definedNames>
    <definedName name="_xlnm._FilterDatabase" localSheetId="2" hidden="1">'入出庫記録 (砂バラス)'!#REF!</definedName>
    <definedName name="_xlnm._FilterDatabase" localSheetId="1" hidden="1">'入出庫記録（一輪車）'!#REF!</definedName>
    <definedName name="_xlnm._FilterDatabase" localSheetId="0" hidden="1">'入出庫記録（二次製品）'!#REF!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出荷店舗リスト" localSheetId="4">#REF!</definedName>
    <definedName name="出荷店舗リスト" localSheetId="2">'入出庫記録 (砂バラス)'!#REF!</definedName>
    <definedName name="出荷店舗リスト" localSheetId="1">'入出庫記録（一輪車）'!#REF!</definedName>
    <definedName name="出荷店舗リスト">'入出庫記録（二次製品）'!#REF!</definedName>
  </definedNames>
  <calcPr calcId="162913"/>
  <pivotCaches>
    <pivotCache cacheId="2" r:id="rId6"/>
  </pivotCaches>
</workbook>
</file>

<file path=xl/calcChain.xml><?xml version="1.0" encoding="utf-8"?>
<calcChain xmlns="http://schemas.openxmlformats.org/spreadsheetml/2006/main">
  <c r="A23" i="25" l="1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22" i="25" l="1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L7" i="13" l="1"/>
  <c r="L15" i="13"/>
  <c r="L23" i="13"/>
  <c r="L31" i="13"/>
  <c r="L39" i="13"/>
  <c r="L47" i="13"/>
  <c r="L55" i="13"/>
  <c r="L63" i="13"/>
  <c r="L71" i="13"/>
  <c r="L25" i="13"/>
  <c r="L41" i="13"/>
  <c r="L57" i="13"/>
  <c r="L67" i="13"/>
  <c r="L6" i="13"/>
  <c r="L8" i="13"/>
  <c r="L16" i="13"/>
  <c r="L24" i="13"/>
  <c r="L32" i="13"/>
  <c r="L40" i="13"/>
  <c r="L48" i="13"/>
  <c r="L56" i="13"/>
  <c r="L64" i="13"/>
  <c r="L72" i="13"/>
  <c r="L17" i="13"/>
  <c r="L33" i="13"/>
  <c r="L49" i="13"/>
  <c r="L73" i="13"/>
  <c r="L62" i="13"/>
  <c r="L9" i="13"/>
  <c r="L65" i="13"/>
  <c r="L10" i="13"/>
  <c r="L18" i="13"/>
  <c r="L26" i="13"/>
  <c r="L34" i="13"/>
  <c r="L42" i="13"/>
  <c r="L50" i="13"/>
  <c r="L58" i="13"/>
  <c r="L66" i="13"/>
  <c r="L74" i="13"/>
  <c r="L59" i="13"/>
  <c r="L70" i="13"/>
  <c r="L11" i="13"/>
  <c r="L19" i="13"/>
  <c r="L27" i="13"/>
  <c r="L35" i="13"/>
  <c r="L43" i="13"/>
  <c r="L51" i="13"/>
  <c r="L75" i="13"/>
  <c r="L12" i="13"/>
  <c r="L20" i="13"/>
  <c r="L28" i="13"/>
  <c r="L36" i="13"/>
  <c r="L44" i="13"/>
  <c r="L52" i="13"/>
  <c r="L60" i="13"/>
  <c r="L68" i="13"/>
  <c r="L76" i="13"/>
  <c r="L46" i="13"/>
  <c r="L13" i="13"/>
  <c r="L21" i="13"/>
  <c r="L29" i="13"/>
  <c r="L37" i="13"/>
  <c r="L45" i="13"/>
  <c r="L53" i="13"/>
  <c r="L61" i="13"/>
  <c r="L69" i="13"/>
  <c r="L77" i="13"/>
  <c r="L14" i="13"/>
  <c r="L22" i="13"/>
  <c r="L30" i="13"/>
  <c r="L38" i="13"/>
  <c r="L54" i="13"/>
  <c r="H17" i="23"/>
  <c r="I17" i="23"/>
  <c r="H18" i="23"/>
  <c r="I18" i="23"/>
  <c r="H19" i="23"/>
  <c r="I19" i="23"/>
  <c r="H20" i="23"/>
  <c r="I20" i="23"/>
  <c r="H21" i="23"/>
  <c r="I21" i="23"/>
  <c r="H22" i="23"/>
  <c r="I22" i="23"/>
  <c r="H23" i="23"/>
  <c r="I23" i="23"/>
  <c r="H24" i="23"/>
  <c r="I24" i="23"/>
  <c r="H25" i="23"/>
  <c r="I25" i="23"/>
  <c r="I7" i="23"/>
  <c r="I8" i="23"/>
  <c r="I9" i="23"/>
  <c r="I10" i="23"/>
  <c r="I16" i="23"/>
  <c r="I15" i="23"/>
  <c r="I13" i="23"/>
  <c r="I14" i="23"/>
  <c r="I11" i="23"/>
  <c r="I12" i="23"/>
  <c r="I6" i="23"/>
  <c r="H7" i="23"/>
  <c r="H8" i="23"/>
  <c r="H9" i="23"/>
  <c r="H10" i="23"/>
  <c r="H16" i="23"/>
  <c r="H15" i="23"/>
  <c r="H13" i="23"/>
  <c r="H14" i="23"/>
  <c r="H11" i="23"/>
  <c r="H12" i="23"/>
  <c r="H6" i="23"/>
</calcChain>
</file>

<file path=xl/connections.xml><?xml version="1.0" encoding="utf-8"?>
<connections xmlns="http://schemas.openxmlformats.org/spreadsheetml/2006/main">
  <connection id="1" odcFile="C:\Users\godfu\Documents\My Data Sources\GOD_OrderManagement t_stockrec.odc" name="GOD_OrderManagement t_stockrec" type="1" refreshedVersion="5" onlyUseConnectionFile="1">
    <dbPr connection="DSN=GOD mysql database;" command="SELECT * FROM `GOD_OrderManagement`.`t_stockrec`"/>
  </connection>
  <connection id="2" odcFile="C:\Users\Kinichi\Documents\My Data Sources\Nafco_OrderManagement v_orderlist.odc" name="Nafco_OrderManagement v_orderlist1" description="VIEW" type="1" refreshedVersion="5" saveData="1">
    <dbPr connection="DSN=G.O.D Web Mysql;UID=god;SERVER=god5322.asuscomm.com;DATABASE=Nafco_OrderManagement;PORT=3306;" command="SELECT * FROM `Nafco_OrderManagement`.`v_orderlist`"/>
  </connection>
  <connection id="3" odcFile="C:\Users\Webedi\Documents\My Data Sources\Nafco_OrderManagement v_stockquantity.odc" name="Nafco_OrderManagement v_stockquantity" description="VIEW" type="1" refreshedVersion="5" saveData="1">
    <dbPr connection="DSN=192.168.100.200;UID=god;SERVER=192.168.100.200;DATABASE=Nafco_OrderManagement;PORT=3306;CHARSET=utf8;" command="SELECT * FROM `Nafco_OrderManagement`.`v_stockquantity`"/>
  </connection>
</connections>
</file>

<file path=xl/sharedStrings.xml><?xml version="1.0" encoding="utf-8"?>
<sst xmlns="http://schemas.openxmlformats.org/spreadsheetml/2006/main" count="682" uniqueCount="287">
  <si>
    <t>万能砕石（小）</t>
  </si>
  <si>
    <t>万能砕石（大）</t>
  </si>
  <si>
    <t>山砂１号</t>
  </si>
  <si>
    <t>土のう／山砂</t>
  </si>
  <si>
    <t>土のう／バラス</t>
  </si>
  <si>
    <t>路盤材</t>
  </si>
  <si>
    <t>丸健</t>
  </si>
  <si>
    <t>２０ｋｇ</t>
  </si>
  <si>
    <t>チューブタイヤ</t>
  </si>
  <si>
    <t>ノーパンクタイヤ</t>
  </si>
  <si>
    <t>アルミコンテナカー</t>
  </si>
  <si>
    <t>浅型一輪車NP</t>
  </si>
  <si>
    <t>WB2709N</t>
  </si>
  <si>
    <t>２５ｋｇ</t>
  </si>
  <si>
    <t>５～１０㎜／２０ｋｇ</t>
  </si>
  <si>
    <t>PR1302</t>
  </si>
  <si>
    <t>FP1301</t>
  </si>
  <si>
    <t>アルミ浅型一輪車NP</t>
  </si>
  <si>
    <t>WB2712AL</t>
  </si>
  <si>
    <t>０．１５～２．５㎜／</t>
  </si>
  <si>
    <t>５～２０㎜／２０ｋｇ</t>
  </si>
  <si>
    <t>路盤材　20kg</t>
  </si>
  <si>
    <t>深型一輪車NP</t>
  </si>
  <si>
    <t>WB3502N</t>
  </si>
  <si>
    <t>ホワイトバラス（小）</t>
  </si>
  <si>
    <t>ホワイトバラス（大）</t>
  </si>
  <si>
    <t>浅型一輪車AW</t>
  </si>
  <si>
    <t>WB2709AW</t>
  </si>
  <si>
    <t>TC4510AL</t>
  </si>
  <si>
    <t>アルミ深型一輪車NP</t>
  </si>
  <si>
    <t>WB3503AL</t>
  </si>
  <si>
    <t>軽量ノーパンクタイヤ</t>
  </si>
  <si>
    <t>FP1301PU</t>
  </si>
  <si>
    <t>配送担当</t>
    <rPh sb="0" eb="2">
      <t>ハイソウ</t>
    </rPh>
    <rPh sb="2" eb="4">
      <t>タントウ</t>
    </rPh>
    <phoneticPr fontId="8"/>
  </si>
  <si>
    <t>ジャンル</t>
    <phoneticPr fontId="8"/>
  </si>
  <si>
    <t>一輪車</t>
  </si>
  <si>
    <t>砂バラス</t>
  </si>
  <si>
    <t>浅型二輪車NP</t>
  </si>
  <si>
    <t>WB2709F</t>
  </si>
  <si>
    <t>１８ｋｇ</t>
  </si>
  <si>
    <t>真砂土</t>
  </si>
  <si>
    <t>真砂土　20kg</t>
  </si>
  <si>
    <t>自社コード</t>
    <rPh sb="0" eb="2">
      <t>ジシャ</t>
    </rPh>
    <phoneticPr fontId="7"/>
  </si>
  <si>
    <t>ジャンル</t>
    <phoneticPr fontId="7"/>
  </si>
  <si>
    <t>商品名</t>
    <rPh sb="0" eb="3">
      <t>ショウヒンメイ</t>
    </rPh>
    <phoneticPr fontId="7"/>
  </si>
  <si>
    <t>規格</t>
    <rPh sb="0" eb="2">
      <t>キカク</t>
    </rPh>
    <phoneticPr fontId="7"/>
  </si>
  <si>
    <t>配送担当</t>
    <rPh sb="0" eb="2">
      <t>ハイソウ</t>
    </rPh>
    <rPh sb="2" eb="4">
      <t>タントウ</t>
    </rPh>
    <phoneticPr fontId="7"/>
  </si>
  <si>
    <t>商品コード</t>
    <rPh sb="0" eb="2">
      <t>ショウヒン</t>
    </rPh>
    <phoneticPr fontId="7"/>
  </si>
  <si>
    <t>JANコード</t>
    <phoneticPr fontId="7"/>
  </si>
  <si>
    <t>入庫数量</t>
    <rPh sb="0" eb="2">
      <t>ニュウコ</t>
    </rPh>
    <rPh sb="2" eb="4">
      <t>スウリョウ</t>
    </rPh>
    <phoneticPr fontId="7"/>
  </si>
  <si>
    <t>出庫数量</t>
    <rPh sb="0" eb="2">
      <t>シュッコ</t>
    </rPh>
    <rPh sb="2" eb="4">
      <t>スウリョウ</t>
    </rPh>
    <phoneticPr fontId="7"/>
  </si>
  <si>
    <t>入出庫日</t>
    <rPh sb="0" eb="3">
      <t>ニュウシュッコ</t>
    </rPh>
    <rPh sb="3" eb="4">
      <t>ビ</t>
    </rPh>
    <phoneticPr fontId="8"/>
  </si>
  <si>
    <t>PT入数</t>
    <rPh sb="2" eb="4">
      <t>イリスウ</t>
    </rPh>
    <phoneticPr fontId="7"/>
  </si>
  <si>
    <t>PT数</t>
    <rPh sb="2" eb="3">
      <t>スウ</t>
    </rPh>
    <phoneticPr fontId="7"/>
  </si>
  <si>
    <t>アルミコンテナカー用ノーパンクタイヤ</t>
  </si>
  <si>
    <t>FP2504</t>
  </si>
  <si>
    <t>深型一輪車AW</t>
  </si>
  <si>
    <t>WB3502AW</t>
  </si>
  <si>
    <t>アルミ伸縮コンテナカー</t>
  </si>
  <si>
    <t>TC4513ALNP</t>
  </si>
  <si>
    <t>二次製品</t>
  </si>
  <si>
    <t>二次製品</t>
    <rPh sb="0" eb="2">
      <t>ニジ</t>
    </rPh>
    <rPh sb="2" eb="4">
      <t>セイヒン</t>
    </rPh>
    <phoneticPr fontId="7"/>
  </si>
  <si>
    <t>Ｕ字溝６０本体</t>
  </si>
  <si>
    <t>Ｕ字溝９０本体</t>
  </si>
  <si>
    <t>Ｕ字溝１２０本体</t>
  </si>
  <si>
    <t>Ｕ字溝１５０本体</t>
  </si>
  <si>
    <t>Ｕ字溝１８０本体</t>
  </si>
  <si>
    <t>Ｕ字溝２４０本体</t>
  </si>
  <si>
    <t>Ｕ字溝３００本体</t>
  </si>
  <si>
    <t>Ｕ字溝６０フタ</t>
  </si>
  <si>
    <t>Ｕ字溝９０フタ</t>
  </si>
  <si>
    <t>Ｕ字溝１２０フタ</t>
  </si>
  <si>
    <t>Ｕ字溝１５０フタ</t>
  </si>
  <si>
    <t>Ｕ字溝１８０フタ</t>
  </si>
  <si>
    <t>Ｕ字溝２４０フタ</t>
  </si>
  <si>
    <t>Ｕ字溝３００フタ</t>
  </si>
  <si>
    <t>１ｍＵ字溝６０本体</t>
  </si>
  <si>
    <t>１ｍＵ字溝９０本体</t>
  </si>
  <si>
    <t>１ｍＵ字溝１２０本体</t>
  </si>
  <si>
    <t>１ｍＵ字溝１５０本体</t>
  </si>
  <si>
    <t>溜桝落蓋式１８０本体</t>
  </si>
  <si>
    <t>溜桝落蓋式２４０本体</t>
  </si>
  <si>
    <t>溜桝落蓋式３００本体</t>
  </si>
  <si>
    <t>溜桝落蓋式１８０フタ</t>
  </si>
  <si>
    <t>溜桝落蓋式２４０フタ</t>
  </si>
  <si>
    <t>溜桝落蓋式３００フタ</t>
  </si>
  <si>
    <t>補助桝１８０用</t>
  </si>
  <si>
    <t>補助桝２４０用</t>
  </si>
  <si>
    <t>補助桝３００用</t>
  </si>
  <si>
    <t>歩道上１００</t>
  </si>
  <si>
    <t>歩道上１２０</t>
  </si>
  <si>
    <t>歩道上１５０</t>
  </si>
  <si>
    <t>沓脱石１５０</t>
  </si>
  <si>
    <t>沓脱石２３０</t>
  </si>
  <si>
    <t>車止め５００</t>
  </si>
  <si>
    <t>車止め６００</t>
  </si>
  <si>
    <t>車止め用アンカーピン</t>
  </si>
  <si>
    <t>縁石６００　１００×１００</t>
  </si>
  <si>
    <t>縁石６００　１００×１２０</t>
  </si>
  <si>
    <t>縁石６００　１００×１５０</t>
  </si>
  <si>
    <t>縁石６００　１２０×１２０</t>
  </si>
  <si>
    <t>縁石１０００　１００×１００</t>
  </si>
  <si>
    <t>平板コンクリート ２５０角</t>
  </si>
  <si>
    <t>平板コンクリート ３００角</t>
  </si>
  <si>
    <t>平板コンクリート 長方形</t>
  </si>
  <si>
    <t>束石２×４用　小</t>
  </si>
  <si>
    <t>束石２×４用　大</t>
  </si>
  <si>
    <t>束石ピンコロ　Ｈ－６０</t>
  </si>
  <si>
    <t>束石ピンコロ　Ｈ－１２０</t>
  </si>
  <si>
    <t>束石ピンコロ　Ｈ－１５０</t>
  </si>
  <si>
    <t>羽子板付束石 Ｈ－１２０</t>
  </si>
  <si>
    <t>羽子板付束石 Ｈ－１５０</t>
  </si>
  <si>
    <t>羽子板付束石 Ｈ－１８０</t>
  </si>
  <si>
    <t>羽子板付束石 Ｈ－２４０</t>
  </si>
  <si>
    <t>羽子板付束石 Ｈ－２７０</t>
  </si>
  <si>
    <t>羽子板付束石 Ｈ－３００</t>
  </si>
  <si>
    <t>束石台形　Ｈ－１８０</t>
  </si>
  <si>
    <t>束石台形　Ｈ－２４０</t>
  </si>
  <si>
    <t>束石台形　Ｈ－２７０</t>
  </si>
  <si>
    <t>角型旗立石</t>
  </si>
  <si>
    <t>丸型旗立石</t>
  </si>
  <si>
    <t>単管ベース　小</t>
  </si>
  <si>
    <t>単管ベース　大</t>
  </si>
  <si>
    <t>ラティス支柱用基礎</t>
  </si>
  <si>
    <t>フェンス基礎　１９０角</t>
  </si>
  <si>
    <t>フェンス基礎　Ｈ－３００</t>
  </si>
  <si>
    <t>フェンス基礎　Ｈ－４５０</t>
  </si>
  <si>
    <t>多目的ベース　小</t>
  </si>
  <si>
    <t>多目的ベース　大</t>
  </si>
  <si>
    <t>盆栽棚コンクリート　小</t>
  </si>
  <si>
    <t>盆栽棚コンクリート　中</t>
  </si>
  <si>
    <t>盆栽棚コンクリート　大</t>
  </si>
  <si>
    <t>スペーサー</t>
  </si>
  <si>
    <t>スペーサー５０個入り</t>
  </si>
  <si>
    <t>一輪車</t>
    <rPh sb="0" eb="3">
      <t>イチリンシャ</t>
    </rPh>
    <phoneticPr fontId="7"/>
  </si>
  <si>
    <t>入庫</t>
    <rPh sb="0" eb="2">
      <t>ニュウコ</t>
    </rPh>
    <phoneticPr fontId="7"/>
  </si>
  <si>
    <t>確定</t>
  </si>
  <si>
    <t>から</t>
    <phoneticPr fontId="7"/>
  </si>
  <si>
    <t>に</t>
    <phoneticPr fontId="7"/>
  </si>
  <si>
    <t>華天</t>
  </si>
  <si>
    <t>UH-0606</t>
  </si>
  <si>
    <t>UH-0609</t>
  </si>
  <si>
    <t>UH-0612</t>
  </si>
  <si>
    <t>UH-0615</t>
  </si>
  <si>
    <t>UH-0618</t>
  </si>
  <si>
    <t>UH-0624</t>
  </si>
  <si>
    <t>UH-0630</t>
  </si>
  <si>
    <t>UF-0606</t>
  </si>
  <si>
    <t>UF-0609</t>
  </si>
  <si>
    <t>UF-0612</t>
  </si>
  <si>
    <t>UF-0615</t>
  </si>
  <si>
    <t>UF-0618</t>
  </si>
  <si>
    <t>UF-0624</t>
  </si>
  <si>
    <t>UF-0630</t>
  </si>
  <si>
    <t>UH-1006</t>
  </si>
  <si>
    <t>UH-0610</t>
  </si>
  <si>
    <t>UH-1012</t>
  </si>
  <si>
    <t>UH-1015</t>
  </si>
  <si>
    <t>TH-180</t>
  </si>
  <si>
    <t>TH-240</t>
  </si>
  <si>
    <t>TH-300</t>
  </si>
  <si>
    <t>TF-180</t>
  </si>
  <si>
    <t>TF-240</t>
  </si>
  <si>
    <t>TF-300</t>
  </si>
  <si>
    <t>HM-1810</t>
  </si>
  <si>
    <t>HM-2410</t>
  </si>
  <si>
    <t>HM-3010</t>
  </si>
  <si>
    <t>HA-100</t>
  </si>
  <si>
    <t>HA-120</t>
  </si>
  <si>
    <t>HA-150</t>
  </si>
  <si>
    <t>KI-150</t>
  </si>
  <si>
    <t>KI-230</t>
  </si>
  <si>
    <t>KD-500</t>
  </si>
  <si>
    <t>KD-600</t>
  </si>
  <si>
    <t>KP-175</t>
  </si>
  <si>
    <t>KF-061010</t>
  </si>
  <si>
    <t>KF-061012</t>
  </si>
  <si>
    <t>KF-061015</t>
  </si>
  <si>
    <t>KF-061212</t>
  </si>
  <si>
    <t>KF-101010</t>
  </si>
  <si>
    <t>HK-2525</t>
  </si>
  <si>
    <t>HK-3030</t>
  </si>
  <si>
    <t>HK-3060</t>
  </si>
  <si>
    <t>TK-2420</t>
  </si>
  <si>
    <t>TK-2425</t>
  </si>
  <si>
    <t>TP-060</t>
  </si>
  <si>
    <t>TP-120</t>
  </si>
  <si>
    <t>TP-150</t>
  </si>
  <si>
    <t>HT-120</t>
  </si>
  <si>
    <t>HT-150</t>
  </si>
  <si>
    <t>HT-180</t>
  </si>
  <si>
    <t>HT-240</t>
  </si>
  <si>
    <t>HT-270</t>
  </si>
  <si>
    <t>HT-300</t>
  </si>
  <si>
    <t>TD-180</t>
  </si>
  <si>
    <t>TD-240</t>
  </si>
  <si>
    <t>TD-270</t>
  </si>
  <si>
    <t>KH-270</t>
  </si>
  <si>
    <t>MH-190</t>
  </si>
  <si>
    <t>TB-250</t>
  </si>
  <si>
    <t>TB-290</t>
  </si>
  <si>
    <t>RK-300</t>
  </si>
  <si>
    <t>FK-190</t>
  </si>
  <si>
    <t>FK-300</t>
  </si>
  <si>
    <t>FK-450</t>
  </si>
  <si>
    <t>NB-130</t>
  </si>
  <si>
    <t>NB-165</t>
  </si>
  <si>
    <t>BK-0900</t>
  </si>
  <si>
    <t>BK-1200</t>
  </si>
  <si>
    <t>BK-1500</t>
  </si>
  <si>
    <t>SP-60</t>
  </si>
  <si>
    <t>SP-6050</t>
  </si>
  <si>
    <t>興和日東</t>
  </si>
  <si>
    <t>入庫</t>
  </si>
  <si>
    <t>二次製品入庫登録方法</t>
    <rPh sb="0" eb="2">
      <t>ニジ</t>
    </rPh>
    <rPh sb="2" eb="4">
      <t>セイヒン</t>
    </rPh>
    <rPh sb="4" eb="6">
      <t>ニュウコ</t>
    </rPh>
    <rPh sb="6" eb="8">
      <t>トウロク</t>
    </rPh>
    <rPh sb="8" eb="10">
      <t>ホウホウ</t>
    </rPh>
    <phoneticPr fontId="7"/>
  </si>
  <si>
    <t>「二次製品納品書入力」で興和日東の品コードと数量を入力</t>
    <rPh sb="1" eb="3">
      <t>ニジ</t>
    </rPh>
    <rPh sb="3" eb="5">
      <t>セイヒン</t>
    </rPh>
    <rPh sb="5" eb="8">
      <t>ノウヒンショ</t>
    </rPh>
    <rPh sb="8" eb="10">
      <t>ニュウリョク</t>
    </rPh>
    <rPh sb="12" eb="16">
      <t>コウワニットウ</t>
    </rPh>
    <rPh sb="17" eb="18">
      <t>シナ</t>
    </rPh>
    <rPh sb="22" eb="24">
      <t>スウリョウ</t>
    </rPh>
    <rPh sb="25" eb="27">
      <t>ニュウリョク</t>
    </rPh>
    <phoneticPr fontId="7"/>
  </si>
  <si>
    <t>その内容は下に反映される</t>
    <rPh sb="2" eb="4">
      <t>ナイヨウ</t>
    </rPh>
    <rPh sb="5" eb="6">
      <t>シタ</t>
    </rPh>
    <rPh sb="7" eb="9">
      <t>ハンエイ</t>
    </rPh>
    <phoneticPr fontId="7"/>
  </si>
  <si>
    <t>コピー⇒値だけ左に貼り付け⇒「登録」ボタンをクリック</t>
    <rPh sb="4" eb="5">
      <t>チ</t>
    </rPh>
    <rPh sb="7" eb="8">
      <t>ヒダリ</t>
    </rPh>
    <rPh sb="9" eb="10">
      <t>ハ</t>
    </rPh>
    <rPh sb="11" eb="12">
      <t>ツ</t>
    </rPh>
    <rPh sb="15" eb="17">
      <t>トウロク</t>
    </rPh>
    <phoneticPr fontId="7"/>
  </si>
  <si>
    <t>↓この欄は触らない</t>
    <rPh sb="3" eb="4">
      <t>ラン</t>
    </rPh>
    <rPh sb="5" eb="6">
      <t>サワ</t>
    </rPh>
    <phoneticPr fontId="7"/>
  </si>
  <si>
    <t>↓この欄に興和日東の品コードを入力</t>
    <rPh sb="3" eb="4">
      <t>ラン</t>
    </rPh>
    <rPh sb="5" eb="9">
      <t>コウワニットウ</t>
    </rPh>
    <rPh sb="10" eb="11">
      <t>シナ</t>
    </rPh>
    <rPh sb="15" eb="17">
      <t>ニュウリョク</t>
    </rPh>
    <phoneticPr fontId="7"/>
  </si>
  <si>
    <t>↓この欄に数量を入力</t>
    <rPh sb="3" eb="4">
      <t>ラン</t>
    </rPh>
    <rPh sb="5" eb="7">
      <t>スウリョウ</t>
    </rPh>
    <rPh sb="8" eb="10">
      <t>ニュウリョク</t>
    </rPh>
    <phoneticPr fontId="7"/>
  </si>
  <si>
    <t>1台ずつ入力・登録すること！（同じトラックかどうかは「受領印」に書いてある名前で判断）</t>
    <rPh sb="1" eb="2">
      <t>ダイ</t>
    </rPh>
    <rPh sb="4" eb="6">
      <t>ニュウリョク</t>
    </rPh>
    <rPh sb="7" eb="9">
      <t>トウロク</t>
    </rPh>
    <rPh sb="15" eb="16">
      <t>オナ</t>
    </rPh>
    <rPh sb="27" eb="30">
      <t>ジュリョウイン</t>
    </rPh>
    <rPh sb="32" eb="33">
      <t>カ</t>
    </rPh>
    <rPh sb="37" eb="39">
      <t>ナマエ</t>
    </rPh>
    <rPh sb="40" eb="42">
      <t>ハンダン</t>
    </rPh>
    <phoneticPr fontId="7"/>
  </si>
  <si>
    <t>区分</t>
  </si>
  <si>
    <t>合計 / 数量</t>
  </si>
  <si>
    <t>日付</t>
  </si>
  <si>
    <t>元</t>
  </si>
  <si>
    <t>先</t>
  </si>
  <si>
    <t>総計</t>
  </si>
  <si>
    <t>自社コード</t>
  </si>
  <si>
    <t>納品書番号</t>
  </si>
  <si>
    <t>223690</t>
  </si>
  <si>
    <t>納品書番号</t>
    <rPh sb="0" eb="5">
      <t>ノウヒンショバンゴウ</t>
    </rPh>
    <phoneticPr fontId="7"/>
  </si>
  <si>
    <t>228532</t>
  </si>
  <si>
    <t>223173</t>
  </si>
  <si>
    <t>223113</t>
  </si>
  <si>
    <t>223112</t>
  </si>
  <si>
    <t>223171</t>
  </si>
  <si>
    <t>228393</t>
  </si>
  <si>
    <t>228396</t>
  </si>
  <si>
    <t>228413</t>
  </si>
  <si>
    <t>228419</t>
  </si>
  <si>
    <t>223329</t>
  </si>
  <si>
    <t>223355</t>
  </si>
  <si>
    <t>223335</t>
  </si>
  <si>
    <t>223428</t>
  </si>
  <si>
    <t>228436</t>
  </si>
  <si>
    <t>228472</t>
  </si>
  <si>
    <t>228510</t>
  </si>
  <si>
    <t>223640</t>
  </si>
  <si>
    <t>223653</t>
  </si>
  <si>
    <t>222458</t>
  </si>
  <si>
    <t>228189</t>
  </si>
  <si>
    <t>222619</t>
  </si>
  <si>
    <t>228240</t>
  </si>
  <si>
    <t>222878</t>
  </si>
  <si>
    <t>228299</t>
  </si>
  <si>
    <t>223007</t>
  </si>
  <si>
    <t>228557</t>
  </si>
  <si>
    <t>(空白)</t>
  </si>
  <si>
    <t>222434</t>
  </si>
  <si>
    <t>棚卸</t>
  </si>
  <si>
    <t>223745</t>
  </si>
  <si>
    <t>225846</t>
  </si>
  <si>
    <t>223756</t>
  </si>
  <si>
    <t>228555</t>
  </si>
  <si>
    <t>228600</t>
  </si>
  <si>
    <t>223846</t>
  </si>
  <si>
    <t>228626</t>
  </si>
  <si>
    <t>211016</t>
  </si>
  <si>
    <t>211017</t>
  </si>
  <si>
    <t>221018</t>
  </si>
  <si>
    <t>211019</t>
  </si>
  <si>
    <t>228665</t>
  </si>
  <si>
    <t>228676</t>
  </si>
  <si>
    <t>211069</t>
  </si>
  <si>
    <t>211170</t>
  </si>
  <si>
    <t>228698</t>
  </si>
  <si>
    <t>211308</t>
  </si>
  <si>
    <t>228744</t>
  </si>
  <si>
    <t>211495</t>
  </si>
  <si>
    <t>228778</t>
  </si>
  <si>
    <t>228829</t>
  </si>
  <si>
    <t>228795</t>
  </si>
  <si>
    <t>211707</t>
  </si>
  <si>
    <t>228879</t>
  </si>
  <si>
    <t>211972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</si>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</sst>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/d;@"/>
    <numFmt numFmtId="177" formatCode="#############"/>
  </numFmts>
  <fonts count="14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176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center" vertical="center"/>
    </xf>
    <xf numFmtId="177" fontId="9" fillId="0" borderId="0" xfId="0" applyNumberFormat="1" applyFont="1" applyAlignment="1" applyProtection="1">
      <alignment vertical="center"/>
    </xf>
    <xf numFmtId="0" fontId="10" fillId="0" borderId="1" xfId="0" applyFont="1" applyBorder="1" applyAlignment="1" applyProtection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177" fontId="10" fillId="0" borderId="2" xfId="0" applyNumberFormat="1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center" vertical="center"/>
    </xf>
    <xf numFmtId="0" fontId="9" fillId="0" borderId="2" xfId="0" applyFont="1" applyBorder="1" applyAlignment="1" applyProtection="1">
      <alignment vertical="center"/>
    </xf>
    <xf numFmtId="0" fontId="10" fillId="0" borderId="4" xfId="0" applyFont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vertical="center"/>
    </xf>
    <xf numFmtId="0" fontId="9" fillId="2" borderId="4" xfId="0" applyFont="1" applyFill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/>
    </xf>
    <xf numFmtId="0" fontId="9" fillId="0" borderId="2" xfId="0" applyFont="1" applyBorder="1" applyAlignment="1" applyProtection="1">
      <alignment horizontal="center" vertical="center"/>
    </xf>
    <xf numFmtId="177" fontId="9" fillId="0" borderId="2" xfId="0" applyNumberFormat="1" applyFont="1" applyBorder="1" applyAlignment="1" applyProtection="1">
      <alignment vertical="center"/>
    </xf>
    <xf numFmtId="0" fontId="9" fillId="0" borderId="2" xfId="0" applyFont="1" applyBorder="1" applyAlignment="1" applyProtection="1">
      <alignment vertical="center" wrapText="1"/>
    </xf>
    <xf numFmtId="176" fontId="9" fillId="0" borderId="0" xfId="0" applyNumberFormat="1" applyFont="1" applyAlignment="1" applyProtection="1">
      <alignment horizontal="center" vertical="center"/>
    </xf>
    <xf numFmtId="0" fontId="9" fillId="3" borderId="0" xfId="0" applyFont="1" applyFill="1" applyAlignment="1" applyProtection="1">
      <alignment horizontal="center" vertical="center"/>
    </xf>
    <xf numFmtId="0" fontId="1" fillId="0" borderId="0" xfId="6">
      <alignment vertical="center"/>
    </xf>
    <xf numFmtId="0" fontId="9" fillId="2" borderId="4" xfId="0" applyFont="1" applyFill="1" applyBorder="1" applyAlignment="1" applyProtection="1">
      <alignment vertical="center"/>
    </xf>
    <xf numFmtId="0" fontId="12" fillId="0" borderId="0" xfId="6" applyFont="1">
      <alignment vertical="center"/>
    </xf>
    <xf numFmtId="0" fontId="13" fillId="0" borderId="0" xfId="6" applyFont="1">
      <alignment vertical="center"/>
    </xf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177" fontId="9" fillId="4" borderId="5" xfId="0" applyNumberFormat="1" applyFont="1" applyFill="1" applyBorder="1" applyAlignment="1" applyProtection="1">
      <alignment vertical="center"/>
    </xf>
    <xf numFmtId="177" fontId="9" fillId="5" borderId="6" xfId="0" applyNumberFormat="1" applyFont="1" applyFill="1" applyBorder="1" applyAlignment="1" applyProtection="1">
      <alignment vertical="center"/>
    </xf>
    <xf numFmtId="0" fontId="1" fillId="2" borderId="4" xfId="6" applyFill="1" applyBorder="1">
      <alignment vertical="center"/>
    </xf>
  </cellXfs>
  <cellStyles count="7">
    <cellStyle name="標準" xfId="0" builtinId="0"/>
    <cellStyle name="標準 2" xfId="1"/>
    <cellStyle name="標準 3" xfId="2"/>
    <cellStyle name="標準 4" xfId="3"/>
    <cellStyle name="標準 5" xfId="4"/>
    <cellStyle name="標準 6" xfId="5"/>
    <cellStyle name="標準 7" xfId="6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Medium9">
    <tableStyle name="MySqlDefault" pivot="0" table="0" count="0"/>
    <tableStyle name="Noストライプ格子あり" pivot="0" count="1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1771650</xdr:colOff>
          <xdr:row>1</xdr:row>
          <xdr:rowOff>171450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314325</xdr:colOff>
          <xdr:row>0</xdr:row>
          <xdr:rowOff>0</xdr:rowOff>
        </xdr:from>
        <xdr:to>
          <xdr:col>7</xdr:col>
          <xdr:colOff>190500</xdr:colOff>
          <xdr:row>1</xdr:row>
          <xdr:rowOff>171450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904875</xdr:colOff>
          <xdr:row>0</xdr:row>
          <xdr:rowOff>0</xdr:rowOff>
        </xdr:from>
        <xdr:to>
          <xdr:col>6</xdr:col>
          <xdr:colOff>104775</xdr:colOff>
          <xdr:row>1</xdr:row>
          <xdr:rowOff>171450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1771650</xdr:colOff>
          <xdr:row>1</xdr:row>
          <xdr:rowOff>171450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314325</xdr:colOff>
          <xdr:row>0</xdr:row>
          <xdr:rowOff>0</xdr:rowOff>
        </xdr:from>
        <xdr:to>
          <xdr:col>7</xdr:col>
          <xdr:colOff>190500</xdr:colOff>
          <xdr:row>1</xdr:row>
          <xdr:rowOff>171450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904875</xdr:colOff>
          <xdr:row>0</xdr:row>
          <xdr:rowOff>0</xdr:rowOff>
        </xdr:from>
        <xdr:to>
          <xdr:col>6</xdr:col>
          <xdr:colOff>104775</xdr:colOff>
          <xdr:row>1</xdr:row>
          <xdr:rowOff>171450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133350</xdr:rowOff>
        </xdr:from>
        <xdr:to>
          <xdr:col>2</xdr:col>
          <xdr:colOff>1771650</xdr:colOff>
          <xdr:row>2</xdr:row>
          <xdr:rowOff>85725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228600</xdr:colOff>
          <xdr:row>0</xdr:row>
          <xdr:rowOff>133350</xdr:rowOff>
        </xdr:from>
        <xdr:to>
          <xdr:col>8</xdr:col>
          <xdr:colOff>638175</xdr:colOff>
          <xdr:row>2</xdr:row>
          <xdr:rowOff>85725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142875</xdr:colOff>
          <xdr:row>0</xdr:row>
          <xdr:rowOff>133350</xdr:rowOff>
        </xdr:from>
        <xdr:to>
          <xdr:col>7</xdr:col>
          <xdr:colOff>19050</xdr:colOff>
          <xdr:row>2</xdr:row>
          <xdr:rowOff>85725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福岡金一" refreshedDate="42433.700068402781" createdVersion="5" refreshedVersion="5" minRefreshableVersion="3" recordCount="1544">
  <cacheSource type="external" connectionId="1"/>
  <cacheFields count="9">
    <cacheField name="id" numFmtId="0" sqlType="4">
      <sharedItems containsSemiMixedTypes="0" containsString="0" containsNumber="1" containsInteger="1" minValue="6" maxValue="1798"/>
    </cacheField>
    <cacheField name="日付" numFmtId="0" sqlType="9">
      <sharedItems containsSemiMixedTypes="0" containsNonDate="0" containsDate="1" containsString="0" minDate="2015-06-06T00:00:00" maxDate="2016-03-05T00:00:00" count="87">
        <d v="2015-06-06T00:00:00"/>
        <d v="2015-06-13T00:00:00"/>
        <d v="2015-06-09T00:00:00"/>
        <d v="2015-06-15T00:00:00"/>
        <d v="2015-06-16T00:00:00"/>
        <d v="2015-06-17T00:00:00"/>
        <d v="2015-06-18T00:00:00"/>
        <d v="2015-06-19T00:00:00"/>
        <d v="2015-06-20T00:00:00"/>
        <d v="2015-06-23T00:00:00"/>
        <d v="2015-06-27T00:00:00"/>
        <d v="2015-07-04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11T00:00:00"/>
        <d v="2015-07-18T00:00:00"/>
        <d v="2015-07-25T00:00:00"/>
        <d v="2015-08-01T00:00:00"/>
        <d v="2015-08-03T00:00:00"/>
        <d v="2015-08-22T00:00:00"/>
        <d v="2015-08-29T00:00:00"/>
        <d v="2015-09-05T00:00:00"/>
        <d v="2015-09-12T00:00:00"/>
        <d v="2015-09-19T00:00:00"/>
        <d v="2015-09-26T00:00:00"/>
        <d v="2015-10-03T00:00:00"/>
        <d v="2015-10-10T00:00:00"/>
        <d v="2015-10-17T00:00:00"/>
        <d v="2015-10-24T00:00:00"/>
        <d v="2015-10-31T00:00:00"/>
        <d v="2015-11-07T00:00:00"/>
        <d v="2015-11-14T00:00:00"/>
        <d v="2015-10-26T00:00:00"/>
        <d v="2015-10-13T00:00:00"/>
        <d v="2015-11-17T00:00:00"/>
        <d v="2015-11-18T00:00:00"/>
        <d v="2015-11-21T00:00:00"/>
        <d v="2015-11-28T00:00:00"/>
        <d v="2015-12-05T00:00:00"/>
        <d v="2015-12-12T00:00:00"/>
        <d v="2015-12-11T00:00:00"/>
        <d v="2015-12-02T00:00:00"/>
        <d v="2015-12-14T00:00:00"/>
        <d v="2015-12-15T00:00:00"/>
        <d v="2015-12-16T00:00:00"/>
        <d v="2015-12-19T00:00:00"/>
        <d v="2015-12-26T00:00:00"/>
        <d v="2015-12-28T00:00:00"/>
        <d v="2016-01-05T00:00:00"/>
        <d v="2016-01-09T00:00:00"/>
        <d v="2016-01-08T00:00:00"/>
        <d v="2016-01-12T00:00:00"/>
        <d v="2016-01-14T00:00:00"/>
        <d v="2016-01-16T00:00:00"/>
        <d v="2016-01-23T00:00:00"/>
        <d v="2016-01-26T00:00:00"/>
        <d v="2016-01-27T00:00:00"/>
        <d v="2016-01-28T00:00:00"/>
        <d v="2016-01-30T00:00:00"/>
        <d v="2016-02-02T00:00:00"/>
        <d v="2016-02-05T00:00:00"/>
        <d v="2016-02-06T00:00:00"/>
        <d v="2016-01-21T00:00:00"/>
        <d v="2016-01-19T00:00:00"/>
        <d v="2016-02-08T00:00:00"/>
        <d v="2016-02-09T00:00:00"/>
        <d v="2016-02-10T00:00:00"/>
        <d v="2016-02-12T00:00:00"/>
        <d v="2016-02-15T00:00:00"/>
        <d v="2016-02-16T00:00:00"/>
        <d v="2016-02-17T00:00:00"/>
        <d v="2016-02-18T00:00:00"/>
        <d v="2016-02-20T00:00:00"/>
        <d v="2016-02-24T00:00:00"/>
        <d v="2016-02-27T00:00:00"/>
        <d v="2016-02-25T00:00:00"/>
        <d v="2016-02-26T00:00:00"/>
        <d v="2016-02-29T00:00:00"/>
        <d v="2016-03-01T00:00:00"/>
        <d v="2016-03-03T00:00:00"/>
        <d v="2016-03-04T00:00:00"/>
      </sharedItems>
    </cacheField>
    <cacheField name="区分" numFmtId="0" sqlType="-9">
      <sharedItems count="2">
        <s v="入庫"/>
        <s v="出庫"/>
      </sharedItems>
    </cacheField>
    <cacheField name="自社コード" numFmtId="0" sqlType="4">
      <sharedItems containsSemiMixedTypes="0" containsString="0" containsNumber="1" containsInteger="1" minValue="100004" maxValue="300227" count="191">
        <n v="100101"/>
        <n v="100102"/>
        <n v="100103"/>
        <n v="100104"/>
        <n v="100105"/>
        <n v="100106"/>
        <n v="100107"/>
        <n v="100108"/>
        <n v="100109"/>
        <n v="100110"/>
        <n v="200101"/>
        <n v="200102"/>
        <n v="200103"/>
        <n v="200104"/>
        <n v="200105"/>
        <n v="200106"/>
        <n v="200107"/>
        <n v="200108"/>
        <n v="200109"/>
        <n v="200110"/>
        <n v="100004"/>
        <n v="100005"/>
        <n v="100006"/>
        <n v="100007"/>
        <n v="100008"/>
        <n v="100013"/>
        <n v="100011"/>
        <n v="100012"/>
        <n v="100010"/>
        <n v="100014"/>
        <n v="100111"/>
        <n v="100112"/>
        <n v="100113"/>
        <n v="200111"/>
        <n v="200112"/>
        <n v="200113"/>
        <n v="300101"/>
        <n v="300102"/>
        <n v="300103"/>
        <n v="300104"/>
        <n v="300105"/>
        <n v="300106"/>
        <n v="300107"/>
        <n v="300108"/>
        <n v="300109"/>
        <n v="300110"/>
        <n v="300111"/>
        <n v="300112"/>
        <n v="300113"/>
        <n v="100236"/>
        <n v="100237"/>
        <n v="100238"/>
        <n v="100240"/>
        <n v="100242"/>
        <n v="100243"/>
        <n v="100213"/>
        <n v="100239"/>
        <n v="100249"/>
        <n v="100251"/>
        <n v="100258"/>
        <n v="100210"/>
        <n v="100212"/>
        <n v="100214"/>
        <n v="100241"/>
        <n v="100204"/>
        <n v="100205"/>
        <n v="100206"/>
        <n v="100207"/>
        <n v="100218"/>
        <n v="100219"/>
        <n v="100220"/>
        <n v="100221"/>
        <n v="100222"/>
        <n v="100223"/>
        <n v="100224"/>
        <n v="100216"/>
        <n v="100202"/>
        <n v="100203"/>
        <n v="100233"/>
        <n v="100234"/>
        <n v="100235"/>
        <n v="100247"/>
        <n v="100228"/>
        <n v="100229"/>
        <n v="100230"/>
        <n v="100201"/>
        <n v="100208"/>
        <n v="100209"/>
        <n v="100211"/>
        <n v="100215"/>
        <n v="100217"/>
        <n v="100231"/>
        <n v="100232"/>
        <n v="100246"/>
        <n v="100248"/>
        <n v="100250"/>
        <n v="100252"/>
        <n v="100253"/>
        <n v="100254"/>
        <n v="100260"/>
        <n v="100261"/>
        <n v="100263"/>
        <n v="100272"/>
        <n v="100225"/>
        <n v="100226"/>
        <n v="100227"/>
        <n v="200204"/>
        <n v="200205"/>
        <n v="200206"/>
        <n v="200207"/>
        <n v="200212"/>
        <n v="200213"/>
        <n v="200214"/>
        <n v="200218"/>
        <n v="200219"/>
        <n v="200220"/>
        <n v="200221"/>
        <n v="200236"/>
        <n v="200237"/>
        <n v="200238"/>
        <n v="200239"/>
        <n v="200240"/>
        <n v="200241"/>
        <n v="200242"/>
        <n v="200243"/>
        <n v="200249"/>
        <n v="200251"/>
        <n v="200258"/>
        <n v="300218"/>
        <n v="300221"/>
        <n v="300227"/>
        <n v="200201"/>
        <n v="200202"/>
        <n v="200203"/>
        <n v="200209"/>
        <n v="200210"/>
        <n v="200215"/>
        <n v="200217"/>
        <n v="200222"/>
        <n v="200223"/>
        <n v="200224"/>
        <n v="200235"/>
        <n v="200263"/>
        <n v="200208"/>
        <n v="200211"/>
        <n v="200230"/>
        <n v="200231"/>
        <n v="200232"/>
        <n v="200252"/>
        <n v="100271"/>
        <n v="100264"/>
        <n v="100266"/>
        <n v="100259"/>
        <n v="100265"/>
        <n v="100267"/>
        <n v="200216"/>
        <n v="200226"/>
        <n v="200227"/>
        <n v="200233"/>
        <n v="200234"/>
        <n v="200246"/>
        <n v="200247"/>
        <n v="200248"/>
        <n v="200250"/>
        <n v="200253"/>
        <n v="200260"/>
        <n v="200264"/>
        <n v="200265"/>
        <n v="100244"/>
        <n v="100245"/>
        <n v="100255"/>
        <n v="200225"/>
        <n v="200228"/>
        <n v="200229"/>
        <n v="200244"/>
        <n v="200245"/>
        <n v="200254"/>
        <n v="200255"/>
        <n v="200259"/>
        <n v="200261"/>
        <n v="200266"/>
        <n v="200267"/>
        <n v="200271"/>
        <n v="100256"/>
        <n v="100257"/>
        <n v="100262"/>
        <n v="100268"/>
        <n v="100269"/>
        <n v="100270"/>
        <n v="200256"/>
        <n v="200262"/>
      </sharedItems>
    </cacheField>
    <cacheField name="数量" numFmtId="0" sqlType="4">
      <sharedItems containsSemiMixedTypes="0" containsString="0" containsNumber="1" containsInteger="1" minValue="-1000" maxValue="5148"/>
    </cacheField>
    <cacheField name="状態" numFmtId="0" sqlType="-9">
      <sharedItems count="1">
        <s v="確定"/>
      </sharedItems>
    </cacheField>
    <cacheField name="元" numFmtId="0" sqlType="-9">
      <sharedItems containsBlank="1" count="6">
        <s v="華天"/>
        <m/>
        <s v="興和日東"/>
        <s v="西村"/>
        <s v="丸健"/>
        <s v="ナフコ"/>
      </sharedItems>
    </cacheField>
    <cacheField name="先" numFmtId="0" sqlType="-9">
      <sharedItems containsBlank="1" count="5">
        <s v="丸健"/>
        <m/>
        <s v="マツモト産業"/>
        <s v="MKL"/>
        <s v="興和日東"/>
      </sharedItems>
    </cacheField>
    <cacheField name="納品書番号" numFmtId="0" sqlType="-9">
      <sharedItems containsBlank="1" count="71">
        <m/>
        <s v="222434"/>
        <s v="222458"/>
        <s v="228189"/>
        <s v="222619"/>
        <s v="MMS20151201"/>
        <s v="228240"/>
        <s v="MMS20160101"/>
        <s v="222878"/>
        <s v="228299"/>
        <s v="MMS20160102"/>
        <s v="223171"/>
        <s v="棚卸"/>
        <s v="228393"/>
        <s v="228396"/>
        <s v="228413"/>
        <s v="228419"/>
        <s v="223329"/>
        <s v="223355"/>
        <s v="223335"/>
        <s v="223428"/>
        <s v="228436"/>
        <s v="MMS20160201"/>
        <s v="228472"/>
        <s v="228510"/>
        <s v="223640"/>
        <s v="223653"/>
        <s v="223690"/>
        <s v="228532"/>
        <s v="223173"/>
        <s v="223113"/>
        <s v="223112"/>
        <s v="223007"/>
        <s v="返品"/>
        <s v="223745"/>
        <s v="225846"/>
        <s v="223756"/>
        <s v="228555"/>
        <s v="228557"/>
        <s v="MMS20160202"/>
        <s v="228600"/>
        <s v="223846"/>
        <s v="228626"/>
        <s v="211016"/>
        <s v="211017"/>
        <s v="221018"/>
        <s v="211019"/>
        <s v="228665"/>
        <s v="228676"/>
        <s v="211069"/>
        <s v="211170"/>
        <s v="228698"/>
        <s v="211308"/>
        <s v="228744"/>
        <s v="211495"/>
        <s v="228778"/>
        <s v="MMS20160203"/>
        <s v="228795"/>
        <s v=""/>
        <s v="228829"/>
        <s v="211707"/>
        <s v="999999"/>
        <s v="228879"/>
        <s v="211972"/>
        <s v="9999" u="1"/>
        <s v="228750" u="1"/>
        <s v="228745" u="1"/>
        <s v="228748" u="1"/>
        <s v="228747" u="1"/>
        <s v="228746" u="1"/>
        <s v="22874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44">
  <r>
    <n v="6"/>
    <x v="0"/>
    <x v="0"/>
    <x v="0"/>
    <n v="1000"/>
    <x v="0"/>
    <x v="0"/>
    <x v="0"/>
    <x v="0"/>
  </r>
  <r>
    <n v="7"/>
    <x v="0"/>
    <x v="0"/>
    <x v="1"/>
    <n v="750"/>
    <x v="0"/>
    <x v="0"/>
    <x v="0"/>
    <x v="0"/>
  </r>
  <r>
    <n v="8"/>
    <x v="0"/>
    <x v="0"/>
    <x v="2"/>
    <n v="350"/>
    <x v="0"/>
    <x v="0"/>
    <x v="0"/>
    <x v="0"/>
  </r>
  <r>
    <n v="9"/>
    <x v="0"/>
    <x v="0"/>
    <x v="3"/>
    <n v="180"/>
    <x v="0"/>
    <x v="0"/>
    <x v="0"/>
    <x v="0"/>
  </r>
  <r>
    <n v="10"/>
    <x v="0"/>
    <x v="0"/>
    <x v="4"/>
    <n v="120"/>
    <x v="0"/>
    <x v="0"/>
    <x v="0"/>
    <x v="0"/>
  </r>
  <r>
    <n v="11"/>
    <x v="0"/>
    <x v="0"/>
    <x v="5"/>
    <n v="90"/>
    <x v="0"/>
    <x v="0"/>
    <x v="0"/>
    <x v="0"/>
  </r>
  <r>
    <n v="12"/>
    <x v="0"/>
    <x v="0"/>
    <x v="6"/>
    <n v="60"/>
    <x v="0"/>
    <x v="0"/>
    <x v="0"/>
    <x v="0"/>
  </r>
  <r>
    <n v="13"/>
    <x v="0"/>
    <x v="0"/>
    <x v="7"/>
    <n v="60"/>
    <x v="0"/>
    <x v="0"/>
    <x v="0"/>
    <x v="0"/>
  </r>
  <r>
    <n v="14"/>
    <x v="0"/>
    <x v="0"/>
    <x v="8"/>
    <n v="27"/>
    <x v="0"/>
    <x v="0"/>
    <x v="0"/>
    <x v="0"/>
  </r>
  <r>
    <n v="15"/>
    <x v="0"/>
    <x v="0"/>
    <x v="9"/>
    <n v="48"/>
    <x v="0"/>
    <x v="0"/>
    <x v="0"/>
    <x v="0"/>
  </r>
  <r>
    <n v="16"/>
    <x v="1"/>
    <x v="0"/>
    <x v="0"/>
    <n v="1000"/>
    <x v="0"/>
    <x v="0"/>
    <x v="0"/>
    <x v="0"/>
  </r>
  <r>
    <n v="17"/>
    <x v="1"/>
    <x v="0"/>
    <x v="1"/>
    <n v="750"/>
    <x v="0"/>
    <x v="0"/>
    <x v="0"/>
    <x v="0"/>
  </r>
  <r>
    <n v="18"/>
    <x v="1"/>
    <x v="0"/>
    <x v="2"/>
    <n v="350"/>
    <x v="0"/>
    <x v="0"/>
    <x v="0"/>
    <x v="0"/>
  </r>
  <r>
    <n v="19"/>
    <x v="1"/>
    <x v="0"/>
    <x v="3"/>
    <n v="180"/>
    <x v="0"/>
    <x v="0"/>
    <x v="0"/>
    <x v="0"/>
  </r>
  <r>
    <n v="20"/>
    <x v="1"/>
    <x v="0"/>
    <x v="4"/>
    <n v="90"/>
    <x v="0"/>
    <x v="0"/>
    <x v="0"/>
    <x v="0"/>
  </r>
  <r>
    <n v="21"/>
    <x v="1"/>
    <x v="0"/>
    <x v="5"/>
    <n v="90"/>
    <x v="0"/>
    <x v="0"/>
    <x v="0"/>
    <x v="0"/>
  </r>
  <r>
    <n v="22"/>
    <x v="1"/>
    <x v="0"/>
    <x v="6"/>
    <n v="60"/>
    <x v="0"/>
    <x v="0"/>
    <x v="0"/>
    <x v="0"/>
  </r>
  <r>
    <n v="23"/>
    <x v="1"/>
    <x v="0"/>
    <x v="7"/>
    <n v="60"/>
    <x v="0"/>
    <x v="0"/>
    <x v="0"/>
    <x v="0"/>
  </r>
  <r>
    <n v="24"/>
    <x v="1"/>
    <x v="0"/>
    <x v="8"/>
    <n v="27"/>
    <x v="0"/>
    <x v="0"/>
    <x v="0"/>
    <x v="0"/>
  </r>
  <r>
    <n v="25"/>
    <x v="1"/>
    <x v="0"/>
    <x v="9"/>
    <n v="88"/>
    <x v="0"/>
    <x v="0"/>
    <x v="0"/>
    <x v="0"/>
  </r>
  <r>
    <n v="26"/>
    <x v="2"/>
    <x v="0"/>
    <x v="10"/>
    <n v="1000"/>
    <x v="0"/>
    <x v="1"/>
    <x v="1"/>
    <x v="0"/>
  </r>
  <r>
    <n v="27"/>
    <x v="2"/>
    <x v="0"/>
    <x v="11"/>
    <n v="750"/>
    <x v="0"/>
    <x v="1"/>
    <x v="1"/>
    <x v="0"/>
  </r>
  <r>
    <n v="28"/>
    <x v="2"/>
    <x v="0"/>
    <x v="12"/>
    <n v="350"/>
    <x v="0"/>
    <x v="1"/>
    <x v="1"/>
    <x v="0"/>
  </r>
  <r>
    <n v="29"/>
    <x v="2"/>
    <x v="0"/>
    <x v="13"/>
    <n v="180"/>
    <x v="0"/>
    <x v="1"/>
    <x v="1"/>
    <x v="0"/>
  </r>
  <r>
    <n v="30"/>
    <x v="2"/>
    <x v="0"/>
    <x v="14"/>
    <n v="120"/>
    <x v="0"/>
    <x v="1"/>
    <x v="1"/>
    <x v="0"/>
  </r>
  <r>
    <n v="31"/>
    <x v="2"/>
    <x v="0"/>
    <x v="15"/>
    <n v="90"/>
    <x v="0"/>
    <x v="1"/>
    <x v="1"/>
    <x v="0"/>
  </r>
  <r>
    <n v="32"/>
    <x v="2"/>
    <x v="0"/>
    <x v="16"/>
    <n v="60"/>
    <x v="0"/>
    <x v="1"/>
    <x v="1"/>
    <x v="0"/>
  </r>
  <r>
    <n v="33"/>
    <x v="2"/>
    <x v="0"/>
    <x v="17"/>
    <n v="60"/>
    <x v="0"/>
    <x v="1"/>
    <x v="1"/>
    <x v="0"/>
  </r>
  <r>
    <n v="34"/>
    <x v="2"/>
    <x v="0"/>
    <x v="18"/>
    <n v="27"/>
    <x v="0"/>
    <x v="1"/>
    <x v="1"/>
    <x v="0"/>
  </r>
  <r>
    <n v="35"/>
    <x v="2"/>
    <x v="0"/>
    <x v="19"/>
    <n v="57"/>
    <x v="0"/>
    <x v="1"/>
    <x v="1"/>
    <x v="0"/>
  </r>
  <r>
    <n v="53"/>
    <x v="1"/>
    <x v="0"/>
    <x v="20"/>
    <n v="1518"/>
    <x v="0"/>
    <x v="1"/>
    <x v="1"/>
    <x v="0"/>
  </r>
  <r>
    <n v="54"/>
    <x v="1"/>
    <x v="0"/>
    <x v="21"/>
    <n v="5148"/>
    <x v="0"/>
    <x v="1"/>
    <x v="1"/>
    <x v="0"/>
  </r>
  <r>
    <n v="55"/>
    <x v="1"/>
    <x v="0"/>
    <x v="22"/>
    <n v="3234"/>
    <x v="0"/>
    <x v="1"/>
    <x v="1"/>
    <x v="0"/>
  </r>
  <r>
    <n v="56"/>
    <x v="1"/>
    <x v="0"/>
    <x v="23"/>
    <n v="1150"/>
    <x v="0"/>
    <x v="1"/>
    <x v="1"/>
    <x v="0"/>
  </r>
  <r>
    <n v="57"/>
    <x v="1"/>
    <x v="0"/>
    <x v="24"/>
    <n v="300"/>
    <x v="0"/>
    <x v="1"/>
    <x v="1"/>
    <x v="0"/>
  </r>
  <r>
    <n v="58"/>
    <x v="1"/>
    <x v="0"/>
    <x v="25"/>
    <n v="1122"/>
    <x v="0"/>
    <x v="1"/>
    <x v="1"/>
    <x v="0"/>
  </r>
  <r>
    <n v="60"/>
    <x v="1"/>
    <x v="0"/>
    <x v="26"/>
    <n v="1188"/>
    <x v="0"/>
    <x v="1"/>
    <x v="1"/>
    <x v="0"/>
  </r>
  <r>
    <n v="61"/>
    <x v="1"/>
    <x v="0"/>
    <x v="27"/>
    <n v="660"/>
    <x v="0"/>
    <x v="1"/>
    <x v="1"/>
    <x v="0"/>
  </r>
  <r>
    <n v="62"/>
    <x v="1"/>
    <x v="0"/>
    <x v="28"/>
    <n v="120"/>
    <x v="0"/>
    <x v="1"/>
    <x v="1"/>
    <x v="0"/>
  </r>
  <r>
    <n v="63"/>
    <x v="3"/>
    <x v="0"/>
    <x v="29"/>
    <n v="594"/>
    <x v="0"/>
    <x v="1"/>
    <x v="1"/>
    <x v="0"/>
  </r>
  <r>
    <n v="64"/>
    <x v="4"/>
    <x v="0"/>
    <x v="29"/>
    <n v="594"/>
    <x v="0"/>
    <x v="1"/>
    <x v="1"/>
    <x v="0"/>
  </r>
  <r>
    <n v="65"/>
    <x v="5"/>
    <x v="0"/>
    <x v="20"/>
    <n v="1650"/>
    <x v="0"/>
    <x v="1"/>
    <x v="1"/>
    <x v="0"/>
  </r>
  <r>
    <n v="66"/>
    <x v="6"/>
    <x v="0"/>
    <x v="20"/>
    <n v="1056"/>
    <x v="0"/>
    <x v="1"/>
    <x v="1"/>
    <x v="0"/>
  </r>
  <r>
    <n v="67"/>
    <x v="7"/>
    <x v="0"/>
    <x v="24"/>
    <n v="150"/>
    <x v="0"/>
    <x v="1"/>
    <x v="1"/>
    <x v="0"/>
  </r>
  <r>
    <n v="68"/>
    <x v="8"/>
    <x v="0"/>
    <x v="24"/>
    <n v="250"/>
    <x v="0"/>
    <x v="1"/>
    <x v="1"/>
    <x v="0"/>
  </r>
  <r>
    <n v="69"/>
    <x v="9"/>
    <x v="0"/>
    <x v="20"/>
    <n v="1848"/>
    <x v="0"/>
    <x v="1"/>
    <x v="1"/>
    <x v="0"/>
  </r>
  <r>
    <n v="70"/>
    <x v="10"/>
    <x v="0"/>
    <x v="1"/>
    <n v="980"/>
    <x v="0"/>
    <x v="0"/>
    <x v="0"/>
    <x v="0"/>
  </r>
  <r>
    <n v="71"/>
    <x v="10"/>
    <x v="0"/>
    <x v="2"/>
    <n v="200"/>
    <x v="0"/>
    <x v="0"/>
    <x v="0"/>
    <x v="0"/>
  </r>
  <r>
    <n v="72"/>
    <x v="10"/>
    <x v="0"/>
    <x v="3"/>
    <n v="360"/>
    <x v="0"/>
    <x v="0"/>
    <x v="0"/>
    <x v="0"/>
  </r>
  <r>
    <n v="73"/>
    <x v="10"/>
    <x v="0"/>
    <x v="5"/>
    <n v="300"/>
    <x v="0"/>
    <x v="0"/>
    <x v="0"/>
    <x v="0"/>
  </r>
  <r>
    <n v="74"/>
    <x v="10"/>
    <x v="0"/>
    <x v="8"/>
    <n v="54"/>
    <x v="0"/>
    <x v="0"/>
    <x v="0"/>
    <x v="0"/>
  </r>
  <r>
    <n v="75"/>
    <x v="11"/>
    <x v="0"/>
    <x v="3"/>
    <n v="240"/>
    <x v="0"/>
    <x v="0"/>
    <x v="0"/>
    <x v="0"/>
  </r>
  <r>
    <n v="76"/>
    <x v="11"/>
    <x v="0"/>
    <x v="4"/>
    <n v="300"/>
    <x v="0"/>
    <x v="0"/>
    <x v="0"/>
    <x v="0"/>
  </r>
  <r>
    <n v="77"/>
    <x v="11"/>
    <x v="0"/>
    <x v="5"/>
    <n v="120"/>
    <x v="0"/>
    <x v="0"/>
    <x v="0"/>
    <x v="0"/>
  </r>
  <r>
    <n v="78"/>
    <x v="11"/>
    <x v="0"/>
    <x v="6"/>
    <n v="60"/>
    <x v="0"/>
    <x v="0"/>
    <x v="0"/>
    <x v="0"/>
  </r>
  <r>
    <n v="79"/>
    <x v="11"/>
    <x v="0"/>
    <x v="7"/>
    <n v="270"/>
    <x v="0"/>
    <x v="0"/>
    <x v="0"/>
    <x v="0"/>
  </r>
  <r>
    <n v="80"/>
    <x v="11"/>
    <x v="0"/>
    <x v="8"/>
    <n v="54"/>
    <x v="0"/>
    <x v="0"/>
    <x v="0"/>
    <x v="0"/>
  </r>
  <r>
    <n v="81"/>
    <x v="12"/>
    <x v="0"/>
    <x v="20"/>
    <n v="1650"/>
    <x v="0"/>
    <x v="1"/>
    <x v="1"/>
    <x v="0"/>
  </r>
  <r>
    <n v="82"/>
    <x v="12"/>
    <x v="0"/>
    <x v="21"/>
    <n v="462"/>
    <x v="0"/>
    <x v="1"/>
    <x v="1"/>
    <x v="0"/>
  </r>
  <r>
    <n v="83"/>
    <x v="12"/>
    <x v="0"/>
    <x v="23"/>
    <n v="50"/>
    <x v="0"/>
    <x v="1"/>
    <x v="1"/>
    <x v="0"/>
  </r>
  <r>
    <n v="84"/>
    <x v="13"/>
    <x v="0"/>
    <x v="21"/>
    <n v="2178"/>
    <x v="0"/>
    <x v="1"/>
    <x v="1"/>
    <x v="0"/>
  </r>
  <r>
    <n v="85"/>
    <x v="14"/>
    <x v="0"/>
    <x v="23"/>
    <n v="350"/>
    <x v="0"/>
    <x v="1"/>
    <x v="1"/>
    <x v="0"/>
  </r>
  <r>
    <n v="86"/>
    <x v="10"/>
    <x v="0"/>
    <x v="23"/>
    <n v="400"/>
    <x v="0"/>
    <x v="1"/>
    <x v="1"/>
    <x v="0"/>
  </r>
  <r>
    <n v="87"/>
    <x v="15"/>
    <x v="0"/>
    <x v="25"/>
    <n v="1188"/>
    <x v="0"/>
    <x v="1"/>
    <x v="1"/>
    <x v="0"/>
  </r>
  <r>
    <n v="88"/>
    <x v="16"/>
    <x v="0"/>
    <x v="20"/>
    <n v="1122"/>
    <x v="0"/>
    <x v="1"/>
    <x v="1"/>
    <x v="0"/>
  </r>
  <r>
    <n v="89"/>
    <x v="17"/>
    <x v="0"/>
    <x v="20"/>
    <n v="726"/>
    <x v="0"/>
    <x v="1"/>
    <x v="1"/>
    <x v="0"/>
  </r>
  <r>
    <n v="90"/>
    <x v="17"/>
    <x v="0"/>
    <x v="23"/>
    <n v="200"/>
    <x v="0"/>
    <x v="1"/>
    <x v="1"/>
    <x v="0"/>
  </r>
  <r>
    <n v="91"/>
    <x v="18"/>
    <x v="0"/>
    <x v="21"/>
    <n v="1386"/>
    <x v="0"/>
    <x v="1"/>
    <x v="1"/>
    <x v="0"/>
  </r>
  <r>
    <n v="92"/>
    <x v="18"/>
    <x v="0"/>
    <x v="24"/>
    <n v="150"/>
    <x v="0"/>
    <x v="1"/>
    <x v="1"/>
    <x v="0"/>
  </r>
  <r>
    <n v="93"/>
    <x v="19"/>
    <x v="0"/>
    <x v="21"/>
    <n v="1716"/>
    <x v="0"/>
    <x v="1"/>
    <x v="1"/>
    <x v="0"/>
  </r>
  <r>
    <n v="94"/>
    <x v="11"/>
    <x v="0"/>
    <x v="20"/>
    <n v="1584"/>
    <x v="0"/>
    <x v="1"/>
    <x v="1"/>
    <x v="0"/>
  </r>
  <r>
    <n v="95"/>
    <x v="20"/>
    <x v="0"/>
    <x v="0"/>
    <n v="850"/>
    <x v="0"/>
    <x v="0"/>
    <x v="0"/>
    <x v="0"/>
  </r>
  <r>
    <n v="96"/>
    <x v="20"/>
    <x v="0"/>
    <x v="1"/>
    <n v="700"/>
    <x v="0"/>
    <x v="0"/>
    <x v="0"/>
    <x v="0"/>
  </r>
  <r>
    <n v="97"/>
    <x v="20"/>
    <x v="0"/>
    <x v="2"/>
    <n v="200"/>
    <x v="0"/>
    <x v="0"/>
    <x v="0"/>
    <x v="0"/>
  </r>
  <r>
    <n v="98"/>
    <x v="20"/>
    <x v="0"/>
    <x v="3"/>
    <n v="180"/>
    <x v="0"/>
    <x v="0"/>
    <x v="0"/>
    <x v="0"/>
  </r>
  <r>
    <n v="99"/>
    <x v="20"/>
    <x v="0"/>
    <x v="4"/>
    <n v="90"/>
    <x v="0"/>
    <x v="0"/>
    <x v="0"/>
    <x v="0"/>
  </r>
  <r>
    <n v="100"/>
    <x v="20"/>
    <x v="0"/>
    <x v="5"/>
    <n v="90"/>
    <x v="0"/>
    <x v="0"/>
    <x v="0"/>
    <x v="0"/>
  </r>
  <r>
    <n v="101"/>
    <x v="20"/>
    <x v="0"/>
    <x v="6"/>
    <n v="60"/>
    <x v="0"/>
    <x v="0"/>
    <x v="0"/>
    <x v="0"/>
  </r>
  <r>
    <n v="102"/>
    <x v="20"/>
    <x v="0"/>
    <x v="7"/>
    <n v="90"/>
    <x v="0"/>
    <x v="0"/>
    <x v="0"/>
    <x v="0"/>
  </r>
  <r>
    <n v="103"/>
    <x v="20"/>
    <x v="0"/>
    <x v="8"/>
    <n v="54"/>
    <x v="0"/>
    <x v="0"/>
    <x v="0"/>
    <x v="0"/>
  </r>
  <r>
    <n v="104"/>
    <x v="20"/>
    <x v="0"/>
    <x v="9"/>
    <n v="20"/>
    <x v="0"/>
    <x v="0"/>
    <x v="0"/>
    <x v="0"/>
  </r>
  <r>
    <n v="105"/>
    <x v="20"/>
    <x v="0"/>
    <x v="30"/>
    <n v="160"/>
    <x v="0"/>
    <x v="0"/>
    <x v="0"/>
    <x v="0"/>
  </r>
  <r>
    <n v="106"/>
    <x v="21"/>
    <x v="0"/>
    <x v="0"/>
    <n v="725"/>
    <x v="0"/>
    <x v="0"/>
    <x v="0"/>
    <x v="0"/>
  </r>
  <r>
    <n v="107"/>
    <x v="21"/>
    <x v="0"/>
    <x v="1"/>
    <n v="775"/>
    <x v="0"/>
    <x v="0"/>
    <x v="0"/>
    <x v="0"/>
  </r>
  <r>
    <n v="108"/>
    <x v="21"/>
    <x v="0"/>
    <x v="2"/>
    <n v="275"/>
    <x v="0"/>
    <x v="0"/>
    <x v="0"/>
    <x v="0"/>
  </r>
  <r>
    <n v="109"/>
    <x v="21"/>
    <x v="0"/>
    <x v="3"/>
    <n v="150"/>
    <x v="0"/>
    <x v="0"/>
    <x v="0"/>
    <x v="0"/>
  </r>
  <r>
    <n v="110"/>
    <x v="21"/>
    <x v="0"/>
    <x v="4"/>
    <n v="120"/>
    <x v="0"/>
    <x v="0"/>
    <x v="0"/>
    <x v="0"/>
  </r>
  <r>
    <n v="111"/>
    <x v="21"/>
    <x v="0"/>
    <x v="5"/>
    <n v="120"/>
    <x v="0"/>
    <x v="0"/>
    <x v="0"/>
    <x v="0"/>
  </r>
  <r>
    <n v="112"/>
    <x v="21"/>
    <x v="0"/>
    <x v="7"/>
    <n v="60"/>
    <x v="0"/>
    <x v="0"/>
    <x v="0"/>
    <x v="0"/>
  </r>
  <r>
    <n v="113"/>
    <x v="21"/>
    <x v="0"/>
    <x v="8"/>
    <n v="27"/>
    <x v="0"/>
    <x v="0"/>
    <x v="0"/>
    <x v="0"/>
  </r>
  <r>
    <n v="114"/>
    <x v="21"/>
    <x v="0"/>
    <x v="9"/>
    <n v="60"/>
    <x v="0"/>
    <x v="0"/>
    <x v="0"/>
    <x v="0"/>
  </r>
  <r>
    <n v="115"/>
    <x v="21"/>
    <x v="0"/>
    <x v="31"/>
    <n v="90"/>
    <x v="0"/>
    <x v="0"/>
    <x v="0"/>
    <x v="0"/>
  </r>
  <r>
    <n v="116"/>
    <x v="22"/>
    <x v="0"/>
    <x v="0"/>
    <n v="700"/>
    <x v="0"/>
    <x v="0"/>
    <x v="0"/>
    <x v="0"/>
  </r>
  <r>
    <n v="117"/>
    <x v="22"/>
    <x v="0"/>
    <x v="1"/>
    <n v="750"/>
    <x v="0"/>
    <x v="0"/>
    <x v="0"/>
    <x v="0"/>
  </r>
  <r>
    <n v="118"/>
    <x v="22"/>
    <x v="0"/>
    <x v="2"/>
    <n v="250"/>
    <x v="0"/>
    <x v="0"/>
    <x v="0"/>
    <x v="0"/>
  </r>
  <r>
    <n v="119"/>
    <x v="22"/>
    <x v="0"/>
    <x v="3"/>
    <n v="180"/>
    <x v="0"/>
    <x v="0"/>
    <x v="0"/>
    <x v="0"/>
  </r>
  <r>
    <n v="120"/>
    <x v="22"/>
    <x v="0"/>
    <x v="4"/>
    <n v="120"/>
    <x v="0"/>
    <x v="0"/>
    <x v="0"/>
    <x v="0"/>
  </r>
  <r>
    <n v="121"/>
    <x v="22"/>
    <x v="0"/>
    <x v="5"/>
    <n v="90"/>
    <x v="0"/>
    <x v="0"/>
    <x v="0"/>
    <x v="0"/>
  </r>
  <r>
    <n v="122"/>
    <x v="22"/>
    <x v="0"/>
    <x v="7"/>
    <n v="60"/>
    <x v="0"/>
    <x v="0"/>
    <x v="0"/>
    <x v="0"/>
  </r>
  <r>
    <n v="123"/>
    <x v="22"/>
    <x v="0"/>
    <x v="8"/>
    <n v="27"/>
    <x v="0"/>
    <x v="0"/>
    <x v="0"/>
    <x v="0"/>
  </r>
  <r>
    <n v="124"/>
    <x v="22"/>
    <x v="0"/>
    <x v="9"/>
    <n v="60"/>
    <x v="0"/>
    <x v="0"/>
    <x v="0"/>
    <x v="0"/>
  </r>
  <r>
    <n v="125"/>
    <x v="22"/>
    <x v="0"/>
    <x v="32"/>
    <n v="50"/>
    <x v="0"/>
    <x v="0"/>
    <x v="0"/>
    <x v="0"/>
  </r>
  <r>
    <n v="126"/>
    <x v="23"/>
    <x v="0"/>
    <x v="0"/>
    <n v="945"/>
    <x v="0"/>
    <x v="0"/>
    <x v="0"/>
    <x v="0"/>
  </r>
  <r>
    <n v="127"/>
    <x v="23"/>
    <x v="0"/>
    <x v="5"/>
    <n v="600"/>
    <x v="0"/>
    <x v="0"/>
    <x v="0"/>
    <x v="0"/>
  </r>
  <r>
    <n v="128"/>
    <x v="23"/>
    <x v="0"/>
    <x v="7"/>
    <n v="60"/>
    <x v="0"/>
    <x v="0"/>
    <x v="0"/>
    <x v="0"/>
  </r>
  <r>
    <n v="129"/>
    <x v="23"/>
    <x v="0"/>
    <x v="8"/>
    <n v="27"/>
    <x v="0"/>
    <x v="0"/>
    <x v="0"/>
    <x v="0"/>
  </r>
  <r>
    <n v="130"/>
    <x v="23"/>
    <x v="0"/>
    <x v="9"/>
    <n v="30"/>
    <x v="0"/>
    <x v="0"/>
    <x v="0"/>
    <x v="0"/>
  </r>
  <r>
    <n v="131"/>
    <x v="23"/>
    <x v="0"/>
    <x v="30"/>
    <n v="320"/>
    <x v="0"/>
    <x v="0"/>
    <x v="0"/>
    <x v="0"/>
  </r>
  <r>
    <n v="132"/>
    <x v="23"/>
    <x v="0"/>
    <x v="31"/>
    <n v="60"/>
    <x v="0"/>
    <x v="0"/>
    <x v="0"/>
    <x v="0"/>
  </r>
  <r>
    <n v="133"/>
    <x v="24"/>
    <x v="1"/>
    <x v="3"/>
    <n v="-30"/>
    <x v="0"/>
    <x v="1"/>
    <x v="1"/>
    <x v="0"/>
  </r>
  <r>
    <n v="134"/>
    <x v="24"/>
    <x v="1"/>
    <x v="5"/>
    <n v="-60"/>
    <x v="0"/>
    <x v="1"/>
    <x v="1"/>
    <x v="0"/>
  </r>
  <r>
    <n v="135"/>
    <x v="24"/>
    <x v="1"/>
    <x v="8"/>
    <n v="-15"/>
    <x v="0"/>
    <x v="1"/>
    <x v="1"/>
    <x v="0"/>
  </r>
  <r>
    <n v="136"/>
    <x v="24"/>
    <x v="1"/>
    <x v="30"/>
    <n v="-160"/>
    <x v="0"/>
    <x v="1"/>
    <x v="1"/>
    <x v="0"/>
  </r>
  <r>
    <n v="137"/>
    <x v="24"/>
    <x v="1"/>
    <x v="31"/>
    <n v="-60"/>
    <x v="0"/>
    <x v="1"/>
    <x v="1"/>
    <x v="0"/>
  </r>
  <r>
    <n v="138"/>
    <x v="24"/>
    <x v="1"/>
    <x v="32"/>
    <n v="-20"/>
    <x v="0"/>
    <x v="1"/>
    <x v="1"/>
    <x v="0"/>
  </r>
  <r>
    <n v="139"/>
    <x v="24"/>
    <x v="0"/>
    <x v="13"/>
    <n v="30"/>
    <x v="0"/>
    <x v="1"/>
    <x v="1"/>
    <x v="0"/>
  </r>
  <r>
    <n v="140"/>
    <x v="24"/>
    <x v="0"/>
    <x v="15"/>
    <n v="60"/>
    <x v="0"/>
    <x v="1"/>
    <x v="1"/>
    <x v="0"/>
  </r>
  <r>
    <n v="141"/>
    <x v="24"/>
    <x v="0"/>
    <x v="18"/>
    <n v="15"/>
    <x v="0"/>
    <x v="1"/>
    <x v="1"/>
    <x v="0"/>
  </r>
  <r>
    <n v="142"/>
    <x v="24"/>
    <x v="0"/>
    <x v="33"/>
    <n v="160"/>
    <x v="0"/>
    <x v="1"/>
    <x v="1"/>
    <x v="0"/>
  </r>
  <r>
    <n v="143"/>
    <x v="24"/>
    <x v="0"/>
    <x v="34"/>
    <n v="60"/>
    <x v="0"/>
    <x v="1"/>
    <x v="1"/>
    <x v="0"/>
  </r>
  <r>
    <n v="144"/>
    <x v="24"/>
    <x v="0"/>
    <x v="35"/>
    <n v="20"/>
    <x v="0"/>
    <x v="1"/>
    <x v="1"/>
    <x v="0"/>
  </r>
  <r>
    <n v="145"/>
    <x v="25"/>
    <x v="0"/>
    <x v="0"/>
    <n v="2500"/>
    <x v="0"/>
    <x v="0"/>
    <x v="0"/>
    <x v="0"/>
  </r>
  <r>
    <n v="146"/>
    <x v="25"/>
    <x v="0"/>
    <x v="3"/>
    <n v="480"/>
    <x v="0"/>
    <x v="0"/>
    <x v="0"/>
    <x v="0"/>
  </r>
  <r>
    <n v="147"/>
    <x v="25"/>
    <x v="0"/>
    <x v="9"/>
    <n v="50"/>
    <x v="0"/>
    <x v="0"/>
    <x v="0"/>
    <x v="0"/>
  </r>
  <r>
    <n v="148"/>
    <x v="26"/>
    <x v="0"/>
    <x v="0"/>
    <n v="140"/>
    <x v="0"/>
    <x v="0"/>
    <x v="0"/>
    <x v="0"/>
  </r>
  <r>
    <n v="149"/>
    <x v="26"/>
    <x v="0"/>
    <x v="3"/>
    <n v="90"/>
    <x v="0"/>
    <x v="0"/>
    <x v="0"/>
    <x v="0"/>
  </r>
  <r>
    <n v="150"/>
    <x v="26"/>
    <x v="0"/>
    <x v="4"/>
    <n v="330"/>
    <x v="0"/>
    <x v="0"/>
    <x v="0"/>
    <x v="0"/>
  </r>
  <r>
    <n v="151"/>
    <x v="26"/>
    <x v="0"/>
    <x v="5"/>
    <n v="330"/>
    <x v="0"/>
    <x v="0"/>
    <x v="0"/>
    <x v="0"/>
  </r>
  <r>
    <n v="152"/>
    <x v="26"/>
    <x v="0"/>
    <x v="7"/>
    <n v="120"/>
    <x v="0"/>
    <x v="0"/>
    <x v="0"/>
    <x v="0"/>
  </r>
  <r>
    <n v="153"/>
    <x v="26"/>
    <x v="0"/>
    <x v="8"/>
    <n v="81"/>
    <x v="0"/>
    <x v="0"/>
    <x v="0"/>
    <x v="0"/>
  </r>
  <r>
    <n v="154"/>
    <x v="26"/>
    <x v="0"/>
    <x v="30"/>
    <n v="80"/>
    <x v="0"/>
    <x v="0"/>
    <x v="0"/>
    <x v="0"/>
  </r>
  <r>
    <n v="155"/>
    <x v="27"/>
    <x v="0"/>
    <x v="0"/>
    <n v="475"/>
    <x v="0"/>
    <x v="0"/>
    <x v="0"/>
    <x v="0"/>
  </r>
  <r>
    <n v="156"/>
    <x v="27"/>
    <x v="0"/>
    <x v="3"/>
    <n v="300"/>
    <x v="0"/>
    <x v="0"/>
    <x v="0"/>
    <x v="0"/>
  </r>
  <r>
    <n v="157"/>
    <x v="27"/>
    <x v="0"/>
    <x v="4"/>
    <n v="60"/>
    <x v="0"/>
    <x v="0"/>
    <x v="0"/>
    <x v="0"/>
  </r>
  <r>
    <n v="158"/>
    <x v="27"/>
    <x v="0"/>
    <x v="5"/>
    <n v="90"/>
    <x v="0"/>
    <x v="0"/>
    <x v="0"/>
    <x v="0"/>
  </r>
  <r>
    <n v="159"/>
    <x v="27"/>
    <x v="0"/>
    <x v="7"/>
    <n v="60"/>
    <x v="0"/>
    <x v="0"/>
    <x v="0"/>
    <x v="0"/>
  </r>
  <r>
    <n v="160"/>
    <x v="27"/>
    <x v="0"/>
    <x v="8"/>
    <n v="54"/>
    <x v="0"/>
    <x v="0"/>
    <x v="0"/>
    <x v="0"/>
  </r>
  <r>
    <n v="161"/>
    <x v="27"/>
    <x v="0"/>
    <x v="9"/>
    <n v="120"/>
    <x v="0"/>
    <x v="0"/>
    <x v="0"/>
    <x v="0"/>
  </r>
  <r>
    <n v="162"/>
    <x v="27"/>
    <x v="0"/>
    <x v="30"/>
    <n v="320"/>
    <x v="0"/>
    <x v="0"/>
    <x v="0"/>
    <x v="0"/>
  </r>
  <r>
    <n v="163"/>
    <x v="27"/>
    <x v="0"/>
    <x v="31"/>
    <n v="90"/>
    <x v="0"/>
    <x v="0"/>
    <x v="0"/>
    <x v="0"/>
  </r>
  <r>
    <n v="164"/>
    <x v="27"/>
    <x v="0"/>
    <x v="32"/>
    <n v="40"/>
    <x v="0"/>
    <x v="0"/>
    <x v="0"/>
    <x v="0"/>
  </r>
  <r>
    <n v="165"/>
    <x v="28"/>
    <x v="0"/>
    <x v="0"/>
    <n v="1000"/>
    <x v="0"/>
    <x v="0"/>
    <x v="0"/>
    <x v="0"/>
  </r>
  <r>
    <n v="166"/>
    <x v="28"/>
    <x v="0"/>
    <x v="2"/>
    <n v="175"/>
    <x v="0"/>
    <x v="0"/>
    <x v="0"/>
    <x v="0"/>
  </r>
  <r>
    <n v="167"/>
    <x v="28"/>
    <x v="0"/>
    <x v="3"/>
    <n v="270"/>
    <x v="0"/>
    <x v="0"/>
    <x v="0"/>
    <x v="0"/>
  </r>
  <r>
    <n v="168"/>
    <x v="28"/>
    <x v="0"/>
    <x v="4"/>
    <n v="60"/>
    <x v="0"/>
    <x v="0"/>
    <x v="0"/>
    <x v="0"/>
  </r>
  <r>
    <n v="169"/>
    <x v="28"/>
    <x v="0"/>
    <x v="5"/>
    <n v="120"/>
    <x v="0"/>
    <x v="0"/>
    <x v="0"/>
    <x v="0"/>
  </r>
  <r>
    <n v="170"/>
    <x v="28"/>
    <x v="0"/>
    <x v="6"/>
    <n v="90"/>
    <x v="0"/>
    <x v="0"/>
    <x v="0"/>
    <x v="0"/>
  </r>
  <r>
    <n v="171"/>
    <x v="28"/>
    <x v="0"/>
    <x v="7"/>
    <n v="60"/>
    <x v="0"/>
    <x v="0"/>
    <x v="0"/>
    <x v="0"/>
  </r>
  <r>
    <n v="172"/>
    <x v="28"/>
    <x v="0"/>
    <x v="8"/>
    <n v="27"/>
    <x v="0"/>
    <x v="0"/>
    <x v="0"/>
    <x v="0"/>
  </r>
  <r>
    <n v="173"/>
    <x v="28"/>
    <x v="0"/>
    <x v="9"/>
    <n v="100"/>
    <x v="0"/>
    <x v="0"/>
    <x v="0"/>
    <x v="0"/>
  </r>
  <r>
    <n v="174"/>
    <x v="29"/>
    <x v="0"/>
    <x v="0"/>
    <n v="900"/>
    <x v="0"/>
    <x v="0"/>
    <x v="0"/>
    <x v="0"/>
  </r>
  <r>
    <n v="175"/>
    <x v="29"/>
    <x v="0"/>
    <x v="1"/>
    <n v="200"/>
    <x v="0"/>
    <x v="0"/>
    <x v="0"/>
    <x v="0"/>
  </r>
  <r>
    <n v="176"/>
    <x v="29"/>
    <x v="0"/>
    <x v="2"/>
    <n v="500"/>
    <x v="0"/>
    <x v="0"/>
    <x v="0"/>
    <x v="0"/>
  </r>
  <r>
    <n v="177"/>
    <x v="29"/>
    <x v="0"/>
    <x v="3"/>
    <n v="90"/>
    <x v="0"/>
    <x v="0"/>
    <x v="0"/>
    <x v="0"/>
  </r>
  <r>
    <n v="178"/>
    <x v="29"/>
    <x v="0"/>
    <x v="4"/>
    <n v="180"/>
    <x v="0"/>
    <x v="0"/>
    <x v="0"/>
    <x v="0"/>
  </r>
  <r>
    <n v="179"/>
    <x v="29"/>
    <x v="0"/>
    <x v="5"/>
    <n v="120"/>
    <x v="0"/>
    <x v="0"/>
    <x v="0"/>
    <x v="0"/>
  </r>
  <r>
    <n v="180"/>
    <x v="29"/>
    <x v="0"/>
    <x v="6"/>
    <n v="90"/>
    <x v="0"/>
    <x v="0"/>
    <x v="0"/>
    <x v="0"/>
  </r>
  <r>
    <n v="181"/>
    <x v="29"/>
    <x v="0"/>
    <x v="7"/>
    <n v="120"/>
    <x v="0"/>
    <x v="0"/>
    <x v="0"/>
    <x v="0"/>
  </r>
  <r>
    <n v="182"/>
    <x v="29"/>
    <x v="0"/>
    <x v="9"/>
    <n v="40"/>
    <x v="0"/>
    <x v="0"/>
    <x v="0"/>
    <x v="0"/>
  </r>
  <r>
    <n v="183"/>
    <x v="29"/>
    <x v="0"/>
    <x v="30"/>
    <n v="80"/>
    <x v="0"/>
    <x v="0"/>
    <x v="0"/>
    <x v="0"/>
  </r>
  <r>
    <n v="184"/>
    <x v="30"/>
    <x v="0"/>
    <x v="0"/>
    <n v="1620"/>
    <x v="0"/>
    <x v="0"/>
    <x v="0"/>
    <x v="0"/>
  </r>
  <r>
    <n v="185"/>
    <x v="30"/>
    <x v="0"/>
    <x v="1"/>
    <n v="300"/>
    <x v="0"/>
    <x v="0"/>
    <x v="0"/>
    <x v="0"/>
  </r>
  <r>
    <n v="186"/>
    <x v="30"/>
    <x v="0"/>
    <x v="2"/>
    <n v="200"/>
    <x v="0"/>
    <x v="0"/>
    <x v="0"/>
    <x v="0"/>
  </r>
  <r>
    <n v="187"/>
    <x v="30"/>
    <x v="0"/>
    <x v="3"/>
    <n v="210"/>
    <x v="0"/>
    <x v="0"/>
    <x v="0"/>
    <x v="0"/>
  </r>
  <r>
    <n v="188"/>
    <x v="30"/>
    <x v="0"/>
    <x v="4"/>
    <n v="210"/>
    <x v="0"/>
    <x v="0"/>
    <x v="0"/>
    <x v="0"/>
  </r>
  <r>
    <n v="189"/>
    <x v="30"/>
    <x v="0"/>
    <x v="5"/>
    <n v="60"/>
    <x v="0"/>
    <x v="0"/>
    <x v="0"/>
    <x v="0"/>
  </r>
  <r>
    <n v="190"/>
    <x v="30"/>
    <x v="0"/>
    <x v="7"/>
    <n v="60"/>
    <x v="0"/>
    <x v="0"/>
    <x v="0"/>
    <x v="0"/>
  </r>
  <r>
    <n v="191"/>
    <x v="30"/>
    <x v="0"/>
    <x v="8"/>
    <n v="27"/>
    <x v="0"/>
    <x v="0"/>
    <x v="0"/>
    <x v="0"/>
  </r>
  <r>
    <n v="192"/>
    <x v="30"/>
    <x v="0"/>
    <x v="30"/>
    <n v="80"/>
    <x v="0"/>
    <x v="0"/>
    <x v="0"/>
    <x v="0"/>
  </r>
  <r>
    <n v="193"/>
    <x v="30"/>
    <x v="0"/>
    <x v="31"/>
    <n v="30"/>
    <x v="0"/>
    <x v="0"/>
    <x v="0"/>
    <x v="0"/>
  </r>
  <r>
    <n v="194"/>
    <x v="31"/>
    <x v="0"/>
    <x v="0"/>
    <n v="885"/>
    <x v="0"/>
    <x v="0"/>
    <x v="0"/>
    <x v="0"/>
  </r>
  <r>
    <n v="195"/>
    <x v="31"/>
    <x v="0"/>
    <x v="1"/>
    <n v="450"/>
    <x v="0"/>
    <x v="0"/>
    <x v="0"/>
    <x v="0"/>
  </r>
  <r>
    <n v="196"/>
    <x v="31"/>
    <x v="0"/>
    <x v="2"/>
    <n v="300"/>
    <x v="0"/>
    <x v="0"/>
    <x v="0"/>
    <x v="0"/>
  </r>
  <r>
    <n v="197"/>
    <x v="31"/>
    <x v="0"/>
    <x v="3"/>
    <n v="240"/>
    <x v="0"/>
    <x v="0"/>
    <x v="0"/>
    <x v="0"/>
  </r>
  <r>
    <n v="198"/>
    <x v="31"/>
    <x v="0"/>
    <x v="4"/>
    <n v="120"/>
    <x v="0"/>
    <x v="0"/>
    <x v="0"/>
    <x v="0"/>
  </r>
  <r>
    <n v="199"/>
    <x v="31"/>
    <x v="0"/>
    <x v="5"/>
    <n v="150"/>
    <x v="0"/>
    <x v="0"/>
    <x v="0"/>
    <x v="0"/>
  </r>
  <r>
    <n v="200"/>
    <x v="31"/>
    <x v="0"/>
    <x v="7"/>
    <n v="120"/>
    <x v="0"/>
    <x v="0"/>
    <x v="0"/>
    <x v="0"/>
  </r>
  <r>
    <n v="201"/>
    <x v="31"/>
    <x v="0"/>
    <x v="8"/>
    <n v="27"/>
    <x v="0"/>
    <x v="0"/>
    <x v="0"/>
    <x v="0"/>
  </r>
  <r>
    <n v="202"/>
    <x v="31"/>
    <x v="0"/>
    <x v="31"/>
    <n v="30"/>
    <x v="0"/>
    <x v="0"/>
    <x v="0"/>
    <x v="0"/>
  </r>
  <r>
    <n v="203"/>
    <x v="31"/>
    <x v="0"/>
    <x v="10"/>
    <n v="180"/>
    <x v="0"/>
    <x v="1"/>
    <x v="1"/>
    <x v="0"/>
  </r>
  <r>
    <n v="204"/>
    <x v="31"/>
    <x v="0"/>
    <x v="11"/>
    <n v="150"/>
    <x v="0"/>
    <x v="1"/>
    <x v="1"/>
    <x v="0"/>
  </r>
  <r>
    <n v="205"/>
    <x v="31"/>
    <x v="0"/>
    <x v="12"/>
    <n v="200"/>
    <x v="0"/>
    <x v="1"/>
    <x v="1"/>
    <x v="0"/>
  </r>
  <r>
    <n v="206"/>
    <x v="31"/>
    <x v="0"/>
    <x v="13"/>
    <n v="210"/>
    <x v="0"/>
    <x v="1"/>
    <x v="1"/>
    <x v="0"/>
  </r>
  <r>
    <n v="207"/>
    <x v="31"/>
    <x v="0"/>
    <x v="14"/>
    <n v="120"/>
    <x v="0"/>
    <x v="1"/>
    <x v="1"/>
    <x v="0"/>
  </r>
  <r>
    <n v="208"/>
    <x v="31"/>
    <x v="0"/>
    <x v="15"/>
    <n v="330"/>
    <x v="0"/>
    <x v="1"/>
    <x v="1"/>
    <x v="0"/>
  </r>
  <r>
    <n v="209"/>
    <x v="31"/>
    <x v="0"/>
    <x v="16"/>
    <n v="30"/>
    <x v="0"/>
    <x v="1"/>
    <x v="1"/>
    <x v="0"/>
  </r>
  <r>
    <n v="210"/>
    <x v="31"/>
    <x v="0"/>
    <x v="17"/>
    <n v="60"/>
    <x v="0"/>
    <x v="1"/>
    <x v="1"/>
    <x v="0"/>
  </r>
  <r>
    <n v="211"/>
    <x v="31"/>
    <x v="0"/>
    <x v="18"/>
    <n v="54"/>
    <x v="0"/>
    <x v="1"/>
    <x v="1"/>
    <x v="0"/>
  </r>
  <r>
    <n v="212"/>
    <x v="31"/>
    <x v="0"/>
    <x v="19"/>
    <n v="40"/>
    <x v="0"/>
    <x v="1"/>
    <x v="1"/>
    <x v="0"/>
  </r>
  <r>
    <n v="213"/>
    <x v="32"/>
    <x v="0"/>
    <x v="0"/>
    <n v="2020"/>
    <x v="0"/>
    <x v="0"/>
    <x v="0"/>
    <x v="0"/>
  </r>
  <r>
    <n v="214"/>
    <x v="32"/>
    <x v="0"/>
    <x v="1"/>
    <n v="1500"/>
    <x v="0"/>
    <x v="0"/>
    <x v="0"/>
    <x v="0"/>
  </r>
  <r>
    <n v="215"/>
    <x v="32"/>
    <x v="0"/>
    <x v="2"/>
    <n v="500"/>
    <x v="0"/>
    <x v="0"/>
    <x v="0"/>
    <x v="0"/>
  </r>
  <r>
    <n v="216"/>
    <x v="32"/>
    <x v="0"/>
    <x v="3"/>
    <n v="150"/>
    <x v="0"/>
    <x v="0"/>
    <x v="0"/>
    <x v="0"/>
  </r>
  <r>
    <n v="217"/>
    <x v="32"/>
    <x v="0"/>
    <x v="4"/>
    <n v="240"/>
    <x v="0"/>
    <x v="0"/>
    <x v="0"/>
    <x v="0"/>
  </r>
  <r>
    <n v="218"/>
    <x v="32"/>
    <x v="0"/>
    <x v="5"/>
    <n v="90"/>
    <x v="0"/>
    <x v="0"/>
    <x v="0"/>
    <x v="0"/>
  </r>
  <r>
    <n v="219"/>
    <x v="32"/>
    <x v="0"/>
    <x v="7"/>
    <n v="360"/>
    <x v="0"/>
    <x v="0"/>
    <x v="0"/>
    <x v="0"/>
  </r>
  <r>
    <n v="220"/>
    <x v="32"/>
    <x v="0"/>
    <x v="8"/>
    <n v="189"/>
    <x v="0"/>
    <x v="0"/>
    <x v="0"/>
    <x v="0"/>
  </r>
  <r>
    <n v="221"/>
    <x v="32"/>
    <x v="0"/>
    <x v="9"/>
    <n v="100"/>
    <x v="0"/>
    <x v="0"/>
    <x v="0"/>
    <x v="0"/>
  </r>
  <r>
    <n v="222"/>
    <x v="33"/>
    <x v="0"/>
    <x v="0"/>
    <n v="1345"/>
    <x v="0"/>
    <x v="0"/>
    <x v="0"/>
    <x v="0"/>
  </r>
  <r>
    <n v="223"/>
    <x v="33"/>
    <x v="0"/>
    <x v="1"/>
    <n v="1300"/>
    <x v="0"/>
    <x v="0"/>
    <x v="0"/>
    <x v="0"/>
  </r>
  <r>
    <n v="224"/>
    <x v="33"/>
    <x v="0"/>
    <x v="2"/>
    <n v="300"/>
    <x v="0"/>
    <x v="0"/>
    <x v="0"/>
    <x v="0"/>
  </r>
  <r>
    <n v="225"/>
    <x v="33"/>
    <x v="0"/>
    <x v="3"/>
    <n v="60"/>
    <x v="0"/>
    <x v="0"/>
    <x v="0"/>
    <x v="0"/>
  </r>
  <r>
    <n v="226"/>
    <x v="33"/>
    <x v="0"/>
    <x v="4"/>
    <n v="60"/>
    <x v="0"/>
    <x v="0"/>
    <x v="0"/>
    <x v="0"/>
  </r>
  <r>
    <n v="227"/>
    <x v="33"/>
    <x v="0"/>
    <x v="5"/>
    <n v="30"/>
    <x v="0"/>
    <x v="0"/>
    <x v="0"/>
    <x v="0"/>
  </r>
  <r>
    <n v="228"/>
    <x v="33"/>
    <x v="0"/>
    <x v="7"/>
    <n v="150"/>
    <x v="0"/>
    <x v="0"/>
    <x v="0"/>
    <x v="0"/>
  </r>
  <r>
    <n v="229"/>
    <x v="33"/>
    <x v="0"/>
    <x v="8"/>
    <n v="81"/>
    <x v="0"/>
    <x v="0"/>
    <x v="0"/>
    <x v="0"/>
  </r>
  <r>
    <n v="230"/>
    <x v="33"/>
    <x v="0"/>
    <x v="30"/>
    <n v="80"/>
    <x v="0"/>
    <x v="0"/>
    <x v="0"/>
    <x v="0"/>
  </r>
  <r>
    <n v="231"/>
    <x v="33"/>
    <x v="0"/>
    <x v="31"/>
    <n v="30"/>
    <x v="0"/>
    <x v="0"/>
    <x v="0"/>
    <x v="0"/>
  </r>
  <r>
    <n v="232"/>
    <x v="34"/>
    <x v="0"/>
    <x v="0"/>
    <n v="665"/>
    <x v="0"/>
    <x v="0"/>
    <x v="0"/>
    <x v="0"/>
  </r>
  <r>
    <n v="233"/>
    <x v="34"/>
    <x v="0"/>
    <x v="2"/>
    <n v="200"/>
    <x v="0"/>
    <x v="0"/>
    <x v="0"/>
    <x v="0"/>
  </r>
  <r>
    <n v="234"/>
    <x v="34"/>
    <x v="0"/>
    <x v="3"/>
    <n v="300"/>
    <x v="0"/>
    <x v="0"/>
    <x v="0"/>
    <x v="0"/>
  </r>
  <r>
    <n v="235"/>
    <x v="34"/>
    <x v="0"/>
    <x v="4"/>
    <n v="120"/>
    <x v="0"/>
    <x v="0"/>
    <x v="0"/>
    <x v="0"/>
  </r>
  <r>
    <n v="236"/>
    <x v="34"/>
    <x v="0"/>
    <x v="5"/>
    <n v="300"/>
    <x v="0"/>
    <x v="0"/>
    <x v="0"/>
    <x v="0"/>
  </r>
  <r>
    <n v="237"/>
    <x v="34"/>
    <x v="0"/>
    <x v="9"/>
    <n v="50"/>
    <x v="0"/>
    <x v="0"/>
    <x v="0"/>
    <x v="0"/>
  </r>
  <r>
    <n v="238"/>
    <x v="34"/>
    <x v="0"/>
    <x v="31"/>
    <n v="60"/>
    <x v="0"/>
    <x v="0"/>
    <x v="0"/>
    <x v="0"/>
  </r>
  <r>
    <n v="239"/>
    <x v="35"/>
    <x v="0"/>
    <x v="0"/>
    <n v="1005"/>
    <x v="0"/>
    <x v="0"/>
    <x v="0"/>
    <x v="0"/>
  </r>
  <r>
    <n v="240"/>
    <x v="35"/>
    <x v="0"/>
    <x v="1"/>
    <n v="450"/>
    <x v="0"/>
    <x v="0"/>
    <x v="0"/>
    <x v="0"/>
  </r>
  <r>
    <n v="241"/>
    <x v="35"/>
    <x v="0"/>
    <x v="2"/>
    <n v="150"/>
    <x v="0"/>
    <x v="0"/>
    <x v="0"/>
    <x v="0"/>
  </r>
  <r>
    <n v="242"/>
    <x v="35"/>
    <x v="0"/>
    <x v="3"/>
    <n v="150"/>
    <x v="0"/>
    <x v="0"/>
    <x v="0"/>
    <x v="0"/>
  </r>
  <r>
    <n v="243"/>
    <x v="35"/>
    <x v="0"/>
    <x v="4"/>
    <n v="120"/>
    <x v="0"/>
    <x v="0"/>
    <x v="0"/>
    <x v="0"/>
  </r>
  <r>
    <n v="244"/>
    <x v="35"/>
    <x v="0"/>
    <x v="5"/>
    <n v="120"/>
    <x v="0"/>
    <x v="0"/>
    <x v="0"/>
    <x v="0"/>
  </r>
  <r>
    <n v="245"/>
    <x v="35"/>
    <x v="0"/>
    <x v="6"/>
    <n v="30"/>
    <x v="0"/>
    <x v="0"/>
    <x v="0"/>
    <x v="0"/>
  </r>
  <r>
    <n v="246"/>
    <x v="35"/>
    <x v="0"/>
    <x v="7"/>
    <n v="90"/>
    <x v="0"/>
    <x v="0"/>
    <x v="0"/>
    <x v="0"/>
  </r>
  <r>
    <n v="247"/>
    <x v="35"/>
    <x v="0"/>
    <x v="8"/>
    <n v="27"/>
    <x v="0"/>
    <x v="0"/>
    <x v="0"/>
    <x v="0"/>
  </r>
  <r>
    <n v="248"/>
    <x v="35"/>
    <x v="0"/>
    <x v="9"/>
    <n v="30"/>
    <x v="0"/>
    <x v="0"/>
    <x v="0"/>
    <x v="0"/>
  </r>
  <r>
    <n v="249"/>
    <x v="35"/>
    <x v="0"/>
    <x v="31"/>
    <n v="90"/>
    <x v="0"/>
    <x v="0"/>
    <x v="0"/>
    <x v="0"/>
  </r>
  <r>
    <n v="250"/>
    <x v="36"/>
    <x v="0"/>
    <x v="0"/>
    <n v="885"/>
    <x v="0"/>
    <x v="0"/>
    <x v="0"/>
    <x v="0"/>
  </r>
  <r>
    <n v="251"/>
    <x v="36"/>
    <x v="0"/>
    <x v="1"/>
    <n v="700"/>
    <x v="0"/>
    <x v="0"/>
    <x v="0"/>
    <x v="0"/>
  </r>
  <r>
    <n v="252"/>
    <x v="36"/>
    <x v="0"/>
    <x v="2"/>
    <n v="300"/>
    <x v="0"/>
    <x v="0"/>
    <x v="0"/>
    <x v="0"/>
  </r>
  <r>
    <n v="253"/>
    <x v="36"/>
    <x v="0"/>
    <x v="3"/>
    <n v="120"/>
    <x v="0"/>
    <x v="0"/>
    <x v="0"/>
    <x v="0"/>
  </r>
  <r>
    <n v="254"/>
    <x v="36"/>
    <x v="0"/>
    <x v="4"/>
    <n v="150"/>
    <x v="0"/>
    <x v="0"/>
    <x v="0"/>
    <x v="0"/>
  </r>
  <r>
    <n v="255"/>
    <x v="36"/>
    <x v="0"/>
    <x v="5"/>
    <n v="60"/>
    <x v="0"/>
    <x v="0"/>
    <x v="0"/>
    <x v="0"/>
  </r>
  <r>
    <n v="256"/>
    <x v="36"/>
    <x v="0"/>
    <x v="6"/>
    <n v="30"/>
    <x v="0"/>
    <x v="0"/>
    <x v="0"/>
    <x v="0"/>
  </r>
  <r>
    <n v="257"/>
    <x v="36"/>
    <x v="0"/>
    <x v="7"/>
    <n v="90"/>
    <x v="0"/>
    <x v="0"/>
    <x v="0"/>
    <x v="0"/>
  </r>
  <r>
    <n v="258"/>
    <x v="36"/>
    <x v="0"/>
    <x v="8"/>
    <n v="54"/>
    <x v="0"/>
    <x v="0"/>
    <x v="0"/>
    <x v="0"/>
  </r>
  <r>
    <n v="259"/>
    <x v="36"/>
    <x v="0"/>
    <x v="9"/>
    <n v="50"/>
    <x v="0"/>
    <x v="0"/>
    <x v="0"/>
    <x v="0"/>
  </r>
  <r>
    <n v="260"/>
    <x v="36"/>
    <x v="0"/>
    <x v="30"/>
    <n v="160"/>
    <x v="0"/>
    <x v="0"/>
    <x v="0"/>
    <x v="0"/>
  </r>
  <r>
    <n v="261"/>
    <x v="36"/>
    <x v="0"/>
    <x v="31"/>
    <n v="30"/>
    <x v="0"/>
    <x v="0"/>
    <x v="0"/>
    <x v="0"/>
  </r>
  <r>
    <n v="262"/>
    <x v="36"/>
    <x v="0"/>
    <x v="32"/>
    <n v="10"/>
    <x v="0"/>
    <x v="0"/>
    <x v="0"/>
    <x v="0"/>
  </r>
  <r>
    <n v="263"/>
    <x v="37"/>
    <x v="0"/>
    <x v="0"/>
    <n v="735"/>
    <x v="0"/>
    <x v="0"/>
    <x v="0"/>
    <x v="0"/>
  </r>
  <r>
    <n v="264"/>
    <x v="37"/>
    <x v="0"/>
    <x v="1"/>
    <n v="400"/>
    <x v="0"/>
    <x v="0"/>
    <x v="0"/>
    <x v="0"/>
  </r>
  <r>
    <n v="265"/>
    <x v="37"/>
    <x v="0"/>
    <x v="2"/>
    <n v="150"/>
    <x v="0"/>
    <x v="0"/>
    <x v="0"/>
    <x v="0"/>
  </r>
  <r>
    <n v="266"/>
    <x v="37"/>
    <x v="0"/>
    <x v="3"/>
    <n v="90"/>
    <x v="0"/>
    <x v="0"/>
    <x v="0"/>
    <x v="0"/>
  </r>
  <r>
    <n v="267"/>
    <x v="37"/>
    <x v="0"/>
    <x v="4"/>
    <n v="120"/>
    <x v="0"/>
    <x v="0"/>
    <x v="0"/>
    <x v="0"/>
  </r>
  <r>
    <n v="268"/>
    <x v="37"/>
    <x v="0"/>
    <x v="5"/>
    <n v="270"/>
    <x v="0"/>
    <x v="0"/>
    <x v="0"/>
    <x v="0"/>
  </r>
  <r>
    <n v="269"/>
    <x v="37"/>
    <x v="0"/>
    <x v="7"/>
    <n v="120"/>
    <x v="0"/>
    <x v="0"/>
    <x v="0"/>
    <x v="0"/>
  </r>
  <r>
    <n v="270"/>
    <x v="37"/>
    <x v="0"/>
    <x v="9"/>
    <n v="100"/>
    <x v="0"/>
    <x v="0"/>
    <x v="0"/>
    <x v="0"/>
  </r>
  <r>
    <n v="271"/>
    <x v="37"/>
    <x v="0"/>
    <x v="30"/>
    <n v="160"/>
    <x v="0"/>
    <x v="0"/>
    <x v="0"/>
    <x v="0"/>
  </r>
  <r>
    <n v="272"/>
    <x v="38"/>
    <x v="0"/>
    <x v="36"/>
    <n v="300"/>
    <x v="0"/>
    <x v="1"/>
    <x v="1"/>
    <x v="0"/>
  </r>
  <r>
    <n v="273"/>
    <x v="38"/>
    <x v="0"/>
    <x v="37"/>
    <n v="355"/>
    <x v="0"/>
    <x v="1"/>
    <x v="1"/>
    <x v="0"/>
  </r>
  <r>
    <n v="274"/>
    <x v="38"/>
    <x v="0"/>
    <x v="38"/>
    <n v="210"/>
    <x v="0"/>
    <x v="1"/>
    <x v="1"/>
    <x v="0"/>
  </r>
  <r>
    <n v="275"/>
    <x v="38"/>
    <x v="0"/>
    <x v="39"/>
    <n v="210"/>
    <x v="0"/>
    <x v="1"/>
    <x v="1"/>
    <x v="0"/>
  </r>
  <r>
    <n v="276"/>
    <x v="38"/>
    <x v="0"/>
    <x v="40"/>
    <n v="210"/>
    <x v="0"/>
    <x v="1"/>
    <x v="1"/>
    <x v="0"/>
  </r>
  <r>
    <n v="277"/>
    <x v="38"/>
    <x v="0"/>
    <x v="41"/>
    <n v="90"/>
    <x v="0"/>
    <x v="1"/>
    <x v="1"/>
    <x v="0"/>
  </r>
  <r>
    <n v="278"/>
    <x v="38"/>
    <x v="0"/>
    <x v="42"/>
    <n v="30"/>
    <x v="0"/>
    <x v="1"/>
    <x v="1"/>
    <x v="0"/>
  </r>
  <r>
    <n v="279"/>
    <x v="38"/>
    <x v="0"/>
    <x v="43"/>
    <n v="120"/>
    <x v="0"/>
    <x v="1"/>
    <x v="1"/>
    <x v="0"/>
  </r>
  <r>
    <n v="280"/>
    <x v="38"/>
    <x v="0"/>
    <x v="44"/>
    <n v="54"/>
    <x v="0"/>
    <x v="1"/>
    <x v="1"/>
    <x v="0"/>
  </r>
  <r>
    <n v="281"/>
    <x v="38"/>
    <x v="0"/>
    <x v="45"/>
    <n v="50"/>
    <x v="0"/>
    <x v="1"/>
    <x v="1"/>
    <x v="0"/>
  </r>
  <r>
    <n v="282"/>
    <x v="38"/>
    <x v="0"/>
    <x v="46"/>
    <n v="40"/>
    <x v="0"/>
    <x v="1"/>
    <x v="1"/>
    <x v="0"/>
  </r>
  <r>
    <n v="283"/>
    <x v="38"/>
    <x v="0"/>
    <x v="47"/>
    <n v="30"/>
    <x v="0"/>
    <x v="1"/>
    <x v="1"/>
    <x v="0"/>
  </r>
  <r>
    <n v="284"/>
    <x v="39"/>
    <x v="1"/>
    <x v="0"/>
    <n v="-450"/>
    <x v="0"/>
    <x v="1"/>
    <x v="1"/>
    <x v="0"/>
  </r>
  <r>
    <n v="285"/>
    <x v="39"/>
    <x v="0"/>
    <x v="36"/>
    <n v="450"/>
    <x v="0"/>
    <x v="1"/>
    <x v="1"/>
    <x v="0"/>
  </r>
  <r>
    <n v="286"/>
    <x v="40"/>
    <x v="0"/>
    <x v="10"/>
    <n v="30"/>
    <x v="0"/>
    <x v="1"/>
    <x v="1"/>
    <x v="0"/>
  </r>
  <r>
    <n v="287"/>
    <x v="40"/>
    <x v="0"/>
    <x v="11"/>
    <n v="35"/>
    <x v="0"/>
    <x v="1"/>
    <x v="1"/>
    <x v="0"/>
  </r>
  <r>
    <n v="288"/>
    <x v="40"/>
    <x v="1"/>
    <x v="12"/>
    <n v="-10"/>
    <x v="0"/>
    <x v="1"/>
    <x v="1"/>
    <x v="0"/>
  </r>
  <r>
    <n v="289"/>
    <x v="40"/>
    <x v="0"/>
    <x v="13"/>
    <n v="9"/>
    <x v="0"/>
    <x v="1"/>
    <x v="1"/>
    <x v="0"/>
  </r>
  <r>
    <n v="290"/>
    <x v="40"/>
    <x v="0"/>
    <x v="14"/>
    <n v="20"/>
    <x v="0"/>
    <x v="1"/>
    <x v="1"/>
    <x v="0"/>
  </r>
  <r>
    <n v="291"/>
    <x v="40"/>
    <x v="0"/>
    <x v="15"/>
    <n v="23"/>
    <x v="0"/>
    <x v="1"/>
    <x v="1"/>
    <x v="0"/>
  </r>
  <r>
    <n v="292"/>
    <x v="40"/>
    <x v="0"/>
    <x v="18"/>
    <n v="3"/>
    <x v="0"/>
    <x v="1"/>
    <x v="1"/>
    <x v="0"/>
  </r>
  <r>
    <n v="293"/>
    <x v="40"/>
    <x v="0"/>
    <x v="19"/>
    <n v="1"/>
    <x v="0"/>
    <x v="1"/>
    <x v="1"/>
    <x v="0"/>
  </r>
  <r>
    <n v="294"/>
    <x v="40"/>
    <x v="0"/>
    <x v="33"/>
    <n v="32"/>
    <x v="0"/>
    <x v="1"/>
    <x v="1"/>
    <x v="0"/>
  </r>
  <r>
    <n v="295"/>
    <x v="40"/>
    <x v="1"/>
    <x v="34"/>
    <n v="-12"/>
    <x v="0"/>
    <x v="1"/>
    <x v="1"/>
    <x v="0"/>
  </r>
  <r>
    <n v="296"/>
    <x v="41"/>
    <x v="0"/>
    <x v="46"/>
    <n v="80"/>
    <x v="0"/>
    <x v="1"/>
    <x v="1"/>
    <x v="0"/>
  </r>
  <r>
    <n v="297"/>
    <x v="41"/>
    <x v="0"/>
    <x v="48"/>
    <n v="5"/>
    <x v="0"/>
    <x v="1"/>
    <x v="1"/>
    <x v="0"/>
  </r>
  <r>
    <n v="298"/>
    <x v="41"/>
    <x v="1"/>
    <x v="30"/>
    <n v="-80"/>
    <x v="0"/>
    <x v="1"/>
    <x v="1"/>
    <x v="0"/>
  </r>
  <r>
    <n v="299"/>
    <x v="41"/>
    <x v="1"/>
    <x v="32"/>
    <n v="-5"/>
    <x v="0"/>
    <x v="1"/>
    <x v="1"/>
    <x v="0"/>
  </r>
  <r>
    <n v="300"/>
    <x v="42"/>
    <x v="0"/>
    <x v="0"/>
    <n v="1160"/>
    <x v="0"/>
    <x v="0"/>
    <x v="0"/>
    <x v="0"/>
  </r>
  <r>
    <n v="301"/>
    <x v="42"/>
    <x v="0"/>
    <x v="1"/>
    <n v="500"/>
    <x v="0"/>
    <x v="0"/>
    <x v="0"/>
    <x v="0"/>
  </r>
  <r>
    <n v="302"/>
    <x v="42"/>
    <x v="0"/>
    <x v="2"/>
    <n v="250"/>
    <x v="0"/>
    <x v="0"/>
    <x v="0"/>
    <x v="0"/>
  </r>
  <r>
    <n v="303"/>
    <x v="42"/>
    <x v="0"/>
    <x v="4"/>
    <n v="150"/>
    <x v="0"/>
    <x v="0"/>
    <x v="0"/>
    <x v="0"/>
  </r>
  <r>
    <n v="304"/>
    <x v="42"/>
    <x v="0"/>
    <x v="5"/>
    <n v="150"/>
    <x v="0"/>
    <x v="0"/>
    <x v="0"/>
    <x v="0"/>
  </r>
  <r>
    <n v="305"/>
    <x v="42"/>
    <x v="0"/>
    <x v="7"/>
    <n v="90"/>
    <x v="0"/>
    <x v="0"/>
    <x v="0"/>
    <x v="0"/>
  </r>
  <r>
    <n v="306"/>
    <x v="42"/>
    <x v="0"/>
    <x v="8"/>
    <n v="54"/>
    <x v="0"/>
    <x v="0"/>
    <x v="0"/>
    <x v="0"/>
  </r>
  <r>
    <n v="307"/>
    <x v="42"/>
    <x v="0"/>
    <x v="9"/>
    <n v="100"/>
    <x v="0"/>
    <x v="0"/>
    <x v="0"/>
    <x v="0"/>
  </r>
  <r>
    <n v="308"/>
    <x v="42"/>
    <x v="0"/>
    <x v="30"/>
    <n v="160"/>
    <x v="0"/>
    <x v="0"/>
    <x v="0"/>
    <x v="0"/>
  </r>
  <r>
    <n v="309"/>
    <x v="42"/>
    <x v="0"/>
    <x v="31"/>
    <n v="60"/>
    <x v="0"/>
    <x v="0"/>
    <x v="0"/>
    <x v="0"/>
  </r>
  <r>
    <n v="310"/>
    <x v="43"/>
    <x v="0"/>
    <x v="0"/>
    <n v="1175"/>
    <x v="0"/>
    <x v="0"/>
    <x v="0"/>
    <x v="0"/>
  </r>
  <r>
    <n v="311"/>
    <x v="43"/>
    <x v="0"/>
    <x v="1"/>
    <n v="400"/>
    <x v="0"/>
    <x v="0"/>
    <x v="0"/>
    <x v="0"/>
  </r>
  <r>
    <n v="312"/>
    <x v="43"/>
    <x v="0"/>
    <x v="2"/>
    <n v="300"/>
    <x v="0"/>
    <x v="0"/>
    <x v="0"/>
    <x v="0"/>
  </r>
  <r>
    <n v="313"/>
    <x v="43"/>
    <x v="0"/>
    <x v="3"/>
    <n v="210"/>
    <x v="0"/>
    <x v="0"/>
    <x v="0"/>
    <x v="0"/>
  </r>
  <r>
    <n v="314"/>
    <x v="43"/>
    <x v="0"/>
    <x v="4"/>
    <n v="90"/>
    <x v="0"/>
    <x v="0"/>
    <x v="0"/>
    <x v="0"/>
  </r>
  <r>
    <n v="315"/>
    <x v="43"/>
    <x v="0"/>
    <x v="5"/>
    <n v="120"/>
    <x v="0"/>
    <x v="0"/>
    <x v="0"/>
    <x v="0"/>
  </r>
  <r>
    <n v="316"/>
    <x v="43"/>
    <x v="0"/>
    <x v="7"/>
    <n v="90"/>
    <x v="0"/>
    <x v="0"/>
    <x v="0"/>
    <x v="0"/>
  </r>
  <r>
    <n v="317"/>
    <x v="43"/>
    <x v="0"/>
    <x v="9"/>
    <n v="60"/>
    <x v="0"/>
    <x v="0"/>
    <x v="0"/>
    <x v="0"/>
  </r>
  <r>
    <n v="318"/>
    <x v="43"/>
    <x v="0"/>
    <x v="31"/>
    <n v="30"/>
    <x v="0"/>
    <x v="0"/>
    <x v="0"/>
    <x v="0"/>
  </r>
  <r>
    <n v="319"/>
    <x v="44"/>
    <x v="0"/>
    <x v="0"/>
    <n v="975"/>
    <x v="0"/>
    <x v="0"/>
    <x v="0"/>
    <x v="0"/>
  </r>
  <r>
    <n v="320"/>
    <x v="44"/>
    <x v="0"/>
    <x v="1"/>
    <n v="300"/>
    <x v="0"/>
    <x v="0"/>
    <x v="0"/>
    <x v="0"/>
  </r>
  <r>
    <n v="321"/>
    <x v="44"/>
    <x v="0"/>
    <x v="2"/>
    <n v="400"/>
    <x v="0"/>
    <x v="0"/>
    <x v="0"/>
    <x v="0"/>
  </r>
  <r>
    <n v="322"/>
    <x v="44"/>
    <x v="0"/>
    <x v="3"/>
    <n v="180"/>
    <x v="0"/>
    <x v="0"/>
    <x v="0"/>
    <x v="0"/>
  </r>
  <r>
    <n v="323"/>
    <x v="44"/>
    <x v="0"/>
    <x v="4"/>
    <n v="120"/>
    <x v="0"/>
    <x v="0"/>
    <x v="0"/>
    <x v="0"/>
  </r>
  <r>
    <n v="325"/>
    <x v="44"/>
    <x v="0"/>
    <x v="6"/>
    <n v="30"/>
    <x v="0"/>
    <x v="0"/>
    <x v="0"/>
    <x v="0"/>
  </r>
  <r>
    <n v="326"/>
    <x v="44"/>
    <x v="0"/>
    <x v="7"/>
    <n v="90"/>
    <x v="0"/>
    <x v="0"/>
    <x v="0"/>
    <x v="0"/>
  </r>
  <r>
    <n v="327"/>
    <x v="44"/>
    <x v="0"/>
    <x v="8"/>
    <n v="27"/>
    <x v="0"/>
    <x v="0"/>
    <x v="0"/>
    <x v="0"/>
  </r>
  <r>
    <n v="328"/>
    <x v="44"/>
    <x v="0"/>
    <x v="9"/>
    <n v="50"/>
    <x v="0"/>
    <x v="0"/>
    <x v="0"/>
    <x v="0"/>
  </r>
  <r>
    <n v="329"/>
    <x v="44"/>
    <x v="0"/>
    <x v="30"/>
    <n v="160"/>
    <x v="0"/>
    <x v="0"/>
    <x v="0"/>
    <x v="0"/>
  </r>
  <r>
    <n v="330"/>
    <x v="44"/>
    <x v="0"/>
    <x v="31"/>
    <n v="90"/>
    <x v="0"/>
    <x v="0"/>
    <x v="0"/>
    <x v="0"/>
  </r>
  <r>
    <n v="331"/>
    <x v="44"/>
    <x v="0"/>
    <x v="32"/>
    <n v="20"/>
    <x v="0"/>
    <x v="0"/>
    <x v="0"/>
    <x v="0"/>
  </r>
  <r>
    <n v="332"/>
    <x v="45"/>
    <x v="0"/>
    <x v="0"/>
    <n v="1390"/>
    <x v="0"/>
    <x v="0"/>
    <x v="0"/>
    <x v="0"/>
  </r>
  <r>
    <n v="333"/>
    <x v="45"/>
    <x v="0"/>
    <x v="1"/>
    <n v="500"/>
    <x v="0"/>
    <x v="0"/>
    <x v="0"/>
    <x v="0"/>
  </r>
  <r>
    <n v="334"/>
    <x v="45"/>
    <x v="0"/>
    <x v="2"/>
    <n v="350"/>
    <x v="0"/>
    <x v="0"/>
    <x v="0"/>
    <x v="0"/>
  </r>
  <r>
    <n v="335"/>
    <x v="45"/>
    <x v="0"/>
    <x v="3"/>
    <n v="120"/>
    <x v="0"/>
    <x v="0"/>
    <x v="0"/>
    <x v="0"/>
  </r>
  <r>
    <n v="336"/>
    <x v="45"/>
    <x v="0"/>
    <x v="4"/>
    <n v="150"/>
    <x v="0"/>
    <x v="0"/>
    <x v="0"/>
    <x v="0"/>
  </r>
  <r>
    <n v="337"/>
    <x v="45"/>
    <x v="0"/>
    <x v="5"/>
    <n v="210"/>
    <x v="0"/>
    <x v="0"/>
    <x v="0"/>
    <x v="0"/>
  </r>
  <r>
    <n v="338"/>
    <x v="45"/>
    <x v="0"/>
    <x v="7"/>
    <n v="30"/>
    <x v="0"/>
    <x v="0"/>
    <x v="0"/>
    <x v="0"/>
  </r>
  <r>
    <n v="339"/>
    <x v="45"/>
    <x v="0"/>
    <x v="8"/>
    <n v="27"/>
    <x v="0"/>
    <x v="0"/>
    <x v="0"/>
    <x v="0"/>
  </r>
  <r>
    <n v="340"/>
    <x v="45"/>
    <x v="0"/>
    <x v="9"/>
    <n v="20"/>
    <x v="0"/>
    <x v="0"/>
    <x v="0"/>
    <x v="0"/>
  </r>
  <r>
    <n v="341"/>
    <x v="45"/>
    <x v="0"/>
    <x v="31"/>
    <n v="30"/>
    <x v="0"/>
    <x v="0"/>
    <x v="0"/>
    <x v="0"/>
  </r>
  <r>
    <n v="342"/>
    <x v="44"/>
    <x v="0"/>
    <x v="10"/>
    <n v="870"/>
    <x v="0"/>
    <x v="1"/>
    <x v="1"/>
    <x v="0"/>
  </r>
  <r>
    <n v="343"/>
    <x v="44"/>
    <x v="0"/>
    <x v="11"/>
    <n v="600"/>
    <x v="0"/>
    <x v="1"/>
    <x v="1"/>
    <x v="0"/>
  </r>
  <r>
    <n v="344"/>
    <x v="44"/>
    <x v="0"/>
    <x v="12"/>
    <n v="300"/>
    <x v="0"/>
    <x v="1"/>
    <x v="1"/>
    <x v="0"/>
  </r>
  <r>
    <n v="345"/>
    <x v="44"/>
    <x v="0"/>
    <x v="13"/>
    <n v="120"/>
    <x v="0"/>
    <x v="1"/>
    <x v="1"/>
    <x v="0"/>
  </r>
  <r>
    <n v="346"/>
    <x v="44"/>
    <x v="0"/>
    <x v="14"/>
    <n v="240"/>
    <x v="0"/>
    <x v="1"/>
    <x v="1"/>
    <x v="0"/>
  </r>
  <r>
    <n v="348"/>
    <x v="44"/>
    <x v="0"/>
    <x v="16"/>
    <n v="60"/>
    <x v="0"/>
    <x v="1"/>
    <x v="1"/>
    <x v="0"/>
  </r>
  <r>
    <n v="349"/>
    <x v="44"/>
    <x v="0"/>
    <x v="17"/>
    <n v="60"/>
    <x v="0"/>
    <x v="1"/>
    <x v="1"/>
    <x v="0"/>
  </r>
  <r>
    <n v="350"/>
    <x v="44"/>
    <x v="0"/>
    <x v="18"/>
    <n v="81"/>
    <x v="0"/>
    <x v="1"/>
    <x v="1"/>
    <x v="0"/>
  </r>
  <r>
    <n v="351"/>
    <x v="44"/>
    <x v="0"/>
    <x v="19"/>
    <n v="50"/>
    <x v="0"/>
    <x v="1"/>
    <x v="1"/>
    <x v="0"/>
  </r>
  <r>
    <n v="352"/>
    <x v="44"/>
    <x v="0"/>
    <x v="33"/>
    <n v="80"/>
    <x v="0"/>
    <x v="1"/>
    <x v="1"/>
    <x v="0"/>
  </r>
  <r>
    <n v="355"/>
    <x v="46"/>
    <x v="1"/>
    <x v="0"/>
    <n v="-300"/>
    <x v="0"/>
    <x v="1"/>
    <x v="1"/>
    <x v="0"/>
  </r>
  <r>
    <n v="357"/>
    <x v="46"/>
    <x v="0"/>
    <x v="36"/>
    <n v="300"/>
    <x v="0"/>
    <x v="1"/>
    <x v="1"/>
    <x v="0"/>
  </r>
  <r>
    <n v="358"/>
    <x v="47"/>
    <x v="0"/>
    <x v="49"/>
    <n v="585"/>
    <x v="0"/>
    <x v="2"/>
    <x v="0"/>
    <x v="0"/>
  </r>
  <r>
    <n v="359"/>
    <x v="47"/>
    <x v="0"/>
    <x v="50"/>
    <n v="360"/>
    <x v="0"/>
    <x v="2"/>
    <x v="0"/>
    <x v="0"/>
  </r>
  <r>
    <n v="360"/>
    <x v="47"/>
    <x v="0"/>
    <x v="51"/>
    <n v="324"/>
    <x v="0"/>
    <x v="2"/>
    <x v="0"/>
    <x v="0"/>
  </r>
  <r>
    <n v="361"/>
    <x v="47"/>
    <x v="0"/>
    <x v="52"/>
    <n v="60"/>
    <x v="0"/>
    <x v="2"/>
    <x v="0"/>
    <x v="0"/>
  </r>
  <r>
    <n v="362"/>
    <x v="47"/>
    <x v="0"/>
    <x v="53"/>
    <n v="96"/>
    <x v="0"/>
    <x v="2"/>
    <x v="0"/>
    <x v="0"/>
  </r>
  <r>
    <n v="363"/>
    <x v="47"/>
    <x v="0"/>
    <x v="54"/>
    <n v="48"/>
    <x v="0"/>
    <x v="2"/>
    <x v="0"/>
    <x v="0"/>
  </r>
  <r>
    <n v="365"/>
    <x v="45"/>
    <x v="0"/>
    <x v="55"/>
    <n v="140"/>
    <x v="0"/>
    <x v="2"/>
    <x v="0"/>
    <x v="0"/>
  </r>
  <r>
    <n v="366"/>
    <x v="45"/>
    <x v="0"/>
    <x v="49"/>
    <n v="270"/>
    <x v="0"/>
    <x v="2"/>
    <x v="0"/>
    <x v="0"/>
  </r>
  <r>
    <n v="367"/>
    <x v="45"/>
    <x v="0"/>
    <x v="50"/>
    <n v="144"/>
    <x v="0"/>
    <x v="2"/>
    <x v="0"/>
    <x v="0"/>
  </r>
  <r>
    <n v="368"/>
    <x v="45"/>
    <x v="0"/>
    <x v="51"/>
    <n v="54"/>
    <x v="0"/>
    <x v="2"/>
    <x v="0"/>
    <x v="0"/>
  </r>
  <r>
    <n v="369"/>
    <x v="45"/>
    <x v="0"/>
    <x v="56"/>
    <n v="128"/>
    <x v="0"/>
    <x v="2"/>
    <x v="0"/>
    <x v="0"/>
  </r>
  <r>
    <n v="370"/>
    <x v="45"/>
    <x v="0"/>
    <x v="53"/>
    <n v="96"/>
    <x v="0"/>
    <x v="2"/>
    <x v="0"/>
    <x v="0"/>
  </r>
  <r>
    <n v="371"/>
    <x v="45"/>
    <x v="0"/>
    <x v="57"/>
    <n v="192"/>
    <x v="0"/>
    <x v="2"/>
    <x v="0"/>
    <x v="0"/>
  </r>
  <r>
    <n v="372"/>
    <x v="45"/>
    <x v="0"/>
    <x v="58"/>
    <n v="96"/>
    <x v="0"/>
    <x v="2"/>
    <x v="0"/>
    <x v="0"/>
  </r>
  <r>
    <n v="373"/>
    <x v="45"/>
    <x v="0"/>
    <x v="59"/>
    <n v="15"/>
    <x v="0"/>
    <x v="2"/>
    <x v="0"/>
    <x v="0"/>
  </r>
  <r>
    <n v="374"/>
    <x v="48"/>
    <x v="0"/>
    <x v="60"/>
    <n v="42"/>
    <x v="0"/>
    <x v="2"/>
    <x v="0"/>
    <x v="0"/>
  </r>
  <r>
    <n v="375"/>
    <x v="48"/>
    <x v="0"/>
    <x v="61"/>
    <n v="108"/>
    <x v="0"/>
    <x v="2"/>
    <x v="0"/>
    <x v="0"/>
  </r>
  <r>
    <n v="376"/>
    <x v="48"/>
    <x v="0"/>
    <x v="55"/>
    <n v="40"/>
    <x v="0"/>
    <x v="2"/>
    <x v="0"/>
    <x v="0"/>
  </r>
  <r>
    <n v="377"/>
    <x v="48"/>
    <x v="0"/>
    <x v="62"/>
    <n v="80"/>
    <x v="0"/>
    <x v="2"/>
    <x v="0"/>
    <x v="0"/>
  </r>
  <r>
    <n v="378"/>
    <x v="48"/>
    <x v="0"/>
    <x v="49"/>
    <n v="540"/>
    <x v="0"/>
    <x v="2"/>
    <x v="0"/>
    <x v="0"/>
  </r>
  <r>
    <n v="379"/>
    <x v="48"/>
    <x v="0"/>
    <x v="51"/>
    <n v="27"/>
    <x v="0"/>
    <x v="2"/>
    <x v="0"/>
    <x v="0"/>
  </r>
  <r>
    <n v="380"/>
    <x v="48"/>
    <x v="0"/>
    <x v="56"/>
    <n v="128"/>
    <x v="0"/>
    <x v="2"/>
    <x v="0"/>
    <x v="0"/>
  </r>
  <r>
    <n v="381"/>
    <x v="48"/>
    <x v="0"/>
    <x v="63"/>
    <n v="80"/>
    <x v="0"/>
    <x v="2"/>
    <x v="0"/>
    <x v="0"/>
  </r>
  <r>
    <n v="382"/>
    <x v="48"/>
    <x v="0"/>
    <x v="53"/>
    <n v="192"/>
    <x v="0"/>
    <x v="2"/>
    <x v="0"/>
    <x v="0"/>
  </r>
  <r>
    <n v="383"/>
    <x v="48"/>
    <x v="0"/>
    <x v="54"/>
    <n v="48"/>
    <x v="0"/>
    <x v="2"/>
    <x v="0"/>
    <x v="0"/>
  </r>
  <r>
    <n v="384"/>
    <x v="48"/>
    <x v="0"/>
    <x v="57"/>
    <n v="128"/>
    <x v="0"/>
    <x v="2"/>
    <x v="0"/>
    <x v="0"/>
  </r>
  <r>
    <n v="385"/>
    <x v="48"/>
    <x v="0"/>
    <x v="58"/>
    <n v="96"/>
    <x v="0"/>
    <x v="2"/>
    <x v="0"/>
    <x v="0"/>
  </r>
  <r>
    <n v="386"/>
    <x v="48"/>
    <x v="0"/>
    <x v="59"/>
    <n v="120"/>
    <x v="0"/>
    <x v="2"/>
    <x v="0"/>
    <x v="0"/>
  </r>
  <r>
    <n v="388"/>
    <x v="49"/>
    <x v="0"/>
    <x v="62"/>
    <n v="240"/>
    <x v="0"/>
    <x v="2"/>
    <x v="0"/>
    <x v="0"/>
  </r>
  <r>
    <n v="389"/>
    <x v="50"/>
    <x v="0"/>
    <x v="64"/>
    <n v="200"/>
    <x v="0"/>
    <x v="2"/>
    <x v="0"/>
    <x v="0"/>
  </r>
  <r>
    <n v="390"/>
    <x v="50"/>
    <x v="0"/>
    <x v="65"/>
    <n v="20"/>
    <x v="0"/>
    <x v="2"/>
    <x v="0"/>
    <x v="0"/>
  </r>
  <r>
    <n v="391"/>
    <x v="50"/>
    <x v="0"/>
    <x v="66"/>
    <n v="30"/>
    <x v="0"/>
    <x v="2"/>
    <x v="0"/>
    <x v="0"/>
  </r>
  <r>
    <n v="392"/>
    <x v="50"/>
    <x v="0"/>
    <x v="67"/>
    <n v="18"/>
    <x v="0"/>
    <x v="2"/>
    <x v="0"/>
    <x v="0"/>
  </r>
  <r>
    <n v="393"/>
    <x v="50"/>
    <x v="0"/>
    <x v="68"/>
    <n v="40"/>
    <x v="0"/>
    <x v="2"/>
    <x v="0"/>
    <x v="0"/>
  </r>
  <r>
    <n v="394"/>
    <x v="50"/>
    <x v="0"/>
    <x v="69"/>
    <n v="16"/>
    <x v="0"/>
    <x v="2"/>
    <x v="0"/>
    <x v="0"/>
  </r>
  <r>
    <n v="395"/>
    <x v="50"/>
    <x v="0"/>
    <x v="70"/>
    <n v="16"/>
    <x v="0"/>
    <x v="2"/>
    <x v="0"/>
    <x v="0"/>
  </r>
  <r>
    <n v="396"/>
    <x v="50"/>
    <x v="0"/>
    <x v="71"/>
    <n v="28"/>
    <x v="0"/>
    <x v="2"/>
    <x v="0"/>
    <x v="0"/>
  </r>
  <r>
    <n v="397"/>
    <x v="50"/>
    <x v="0"/>
    <x v="72"/>
    <n v="117"/>
    <x v="0"/>
    <x v="2"/>
    <x v="0"/>
    <x v="0"/>
  </r>
  <r>
    <n v="398"/>
    <x v="50"/>
    <x v="0"/>
    <x v="73"/>
    <n v="56"/>
    <x v="0"/>
    <x v="2"/>
    <x v="0"/>
    <x v="0"/>
  </r>
  <r>
    <n v="399"/>
    <x v="50"/>
    <x v="0"/>
    <x v="74"/>
    <n v="44"/>
    <x v="0"/>
    <x v="2"/>
    <x v="0"/>
    <x v="0"/>
  </r>
  <r>
    <n v="401"/>
    <x v="51"/>
    <x v="0"/>
    <x v="61"/>
    <n v="36"/>
    <x v="0"/>
    <x v="2"/>
    <x v="0"/>
    <x v="0"/>
  </r>
  <r>
    <n v="402"/>
    <x v="51"/>
    <x v="0"/>
    <x v="55"/>
    <n v="60"/>
    <x v="0"/>
    <x v="2"/>
    <x v="0"/>
    <x v="0"/>
  </r>
  <r>
    <n v="403"/>
    <x v="51"/>
    <x v="0"/>
    <x v="62"/>
    <n v="48"/>
    <x v="0"/>
    <x v="2"/>
    <x v="0"/>
    <x v="0"/>
  </r>
  <r>
    <n v="404"/>
    <x v="51"/>
    <x v="0"/>
    <x v="75"/>
    <n v="27"/>
    <x v="0"/>
    <x v="2"/>
    <x v="0"/>
    <x v="0"/>
  </r>
  <r>
    <n v="405"/>
    <x v="51"/>
    <x v="0"/>
    <x v="49"/>
    <n v="720"/>
    <x v="0"/>
    <x v="2"/>
    <x v="0"/>
    <x v="0"/>
  </r>
  <r>
    <n v="406"/>
    <x v="51"/>
    <x v="0"/>
    <x v="50"/>
    <n v="180"/>
    <x v="0"/>
    <x v="2"/>
    <x v="0"/>
    <x v="0"/>
  </r>
  <r>
    <n v="407"/>
    <x v="51"/>
    <x v="0"/>
    <x v="51"/>
    <n v="108"/>
    <x v="0"/>
    <x v="2"/>
    <x v="0"/>
    <x v="0"/>
  </r>
  <r>
    <n v="408"/>
    <x v="51"/>
    <x v="0"/>
    <x v="56"/>
    <n v="32"/>
    <x v="0"/>
    <x v="2"/>
    <x v="0"/>
    <x v="0"/>
  </r>
  <r>
    <n v="409"/>
    <x v="51"/>
    <x v="0"/>
    <x v="52"/>
    <n v="30"/>
    <x v="0"/>
    <x v="2"/>
    <x v="0"/>
    <x v="0"/>
  </r>
  <r>
    <n v="410"/>
    <x v="51"/>
    <x v="0"/>
    <x v="54"/>
    <n v="72"/>
    <x v="0"/>
    <x v="2"/>
    <x v="0"/>
    <x v="0"/>
  </r>
  <r>
    <n v="411"/>
    <x v="51"/>
    <x v="0"/>
    <x v="58"/>
    <n v="48"/>
    <x v="0"/>
    <x v="2"/>
    <x v="0"/>
    <x v="0"/>
  </r>
  <r>
    <n v="412"/>
    <x v="51"/>
    <x v="0"/>
    <x v="59"/>
    <n v="75"/>
    <x v="0"/>
    <x v="2"/>
    <x v="0"/>
    <x v="0"/>
  </r>
  <r>
    <n v="413"/>
    <x v="51"/>
    <x v="0"/>
    <x v="64"/>
    <n v="320"/>
    <x v="0"/>
    <x v="2"/>
    <x v="0"/>
    <x v="0"/>
  </r>
  <r>
    <n v="414"/>
    <x v="51"/>
    <x v="0"/>
    <x v="65"/>
    <n v="90"/>
    <x v="0"/>
    <x v="2"/>
    <x v="0"/>
    <x v="0"/>
  </r>
  <r>
    <n v="415"/>
    <x v="51"/>
    <x v="0"/>
    <x v="68"/>
    <n v="100"/>
    <x v="0"/>
    <x v="2"/>
    <x v="0"/>
    <x v="0"/>
  </r>
  <r>
    <n v="416"/>
    <x v="51"/>
    <x v="0"/>
    <x v="69"/>
    <n v="16"/>
    <x v="0"/>
    <x v="2"/>
    <x v="0"/>
    <x v="0"/>
  </r>
  <r>
    <n v="417"/>
    <x v="51"/>
    <x v="0"/>
    <x v="70"/>
    <n v="64"/>
    <x v="0"/>
    <x v="2"/>
    <x v="0"/>
    <x v="0"/>
  </r>
  <r>
    <n v="418"/>
    <x v="51"/>
    <x v="0"/>
    <x v="71"/>
    <n v="16"/>
    <x v="0"/>
    <x v="2"/>
    <x v="0"/>
    <x v="0"/>
  </r>
  <r>
    <n v="419"/>
    <x v="51"/>
    <x v="0"/>
    <x v="49"/>
    <n v="450"/>
    <x v="0"/>
    <x v="2"/>
    <x v="0"/>
    <x v="0"/>
  </r>
  <r>
    <n v="492"/>
    <x v="52"/>
    <x v="0"/>
    <x v="76"/>
    <n v="27"/>
    <x v="0"/>
    <x v="2"/>
    <x v="0"/>
    <x v="0"/>
  </r>
  <r>
    <n v="493"/>
    <x v="52"/>
    <x v="0"/>
    <x v="77"/>
    <n v="42"/>
    <x v="0"/>
    <x v="2"/>
    <x v="0"/>
    <x v="0"/>
  </r>
  <r>
    <n v="494"/>
    <x v="52"/>
    <x v="0"/>
    <x v="64"/>
    <n v="180"/>
    <x v="0"/>
    <x v="2"/>
    <x v="0"/>
    <x v="0"/>
  </r>
  <r>
    <n v="495"/>
    <x v="52"/>
    <x v="0"/>
    <x v="65"/>
    <n v="90"/>
    <x v="0"/>
    <x v="2"/>
    <x v="0"/>
    <x v="0"/>
  </r>
  <r>
    <n v="496"/>
    <x v="52"/>
    <x v="0"/>
    <x v="66"/>
    <n v="36"/>
    <x v="0"/>
    <x v="2"/>
    <x v="0"/>
    <x v="0"/>
  </r>
  <r>
    <n v="497"/>
    <x v="52"/>
    <x v="0"/>
    <x v="67"/>
    <n v="18"/>
    <x v="0"/>
    <x v="2"/>
    <x v="0"/>
    <x v="0"/>
  </r>
  <r>
    <n v="498"/>
    <x v="52"/>
    <x v="0"/>
    <x v="75"/>
    <n v="27"/>
    <x v="0"/>
    <x v="2"/>
    <x v="0"/>
    <x v="0"/>
  </r>
  <r>
    <n v="499"/>
    <x v="52"/>
    <x v="0"/>
    <x v="69"/>
    <n v="48"/>
    <x v="0"/>
    <x v="2"/>
    <x v="0"/>
    <x v="0"/>
  </r>
  <r>
    <n v="500"/>
    <x v="52"/>
    <x v="0"/>
    <x v="70"/>
    <n v="48"/>
    <x v="0"/>
    <x v="2"/>
    <x v="0"/>
    <x v="0"/>
  </r>
  <r>
    <n v="501"/>
    <x v="52"/>
    <x v="0"/>
    <x v="71"/>
    <n v="16"/>
    <x v="0"/>
    <x v="2"/>
    <x v="0"/>
    <x v="0"/>
  </r>
  <r>
    <n v="502"/>
    <x v="52"/>
    <x v="0"/>
    <x v="72"/>
    <n v="288"/>
    <x v="0"/>
    <x v="2"/>
    <x v="0"/>
    <x v="0"/>
  </r>
  <r>
    <n v="503"/>
    <x v="52"/>
    <x v="0"/>
    <x v="73"/>
    <n v="44"/>
    <x v="0"/>
    <x v="2"/>
    <x v="0"/>
    <x v="0"/>
  </r>
  <r>
    <n v="504"/>
    <x v="52"/>
    <x v="0"/>
    <x v="74"/>
    <n v="44"/>
    <x v="0"/>
    <x v="2"/>
    <x v="0"/>
    <x v="0"/>
  </r>
  <r>
    <n v="505"/>
    <x v="52"/>
    <x v="0"/>
    <x v="78"/>
    <n v="80"/>
    <x v="0"/>
    <x v="2"/>
    <x v="0"/>
    <x v="0"/>
  </r>
  <r>
    <n v="506"/>
    <x v="52"/>
    <x v="0"/>
    <x v="79"/>
    <n v="30"/>
    <x v="0"/>
    <x v="2"/>
    <x v="0"/>
    <x v="0"/>
  </r>
  <r>
    <n v="507"/>
    <x v="52"/>
    <x v="0"/>
    <x v="80"/>
    <n v="1600"/>
    <x v="0"/>
    <x v="2"/>
    <x v="0"/>
    <x v="0"/>
  </r>
  <r>
    <n v="508"/>
    <x v="52"/>
    <x v="0"/>
    <x v="53"/>
    <n v="240"/>
    <x v="0"/>
    <x v="2"/>
    <x v="0"/>
    <x v="0"/>
  </r>
  <r>
    <n v="509"/>
    <x v="52"/>
    <x v="0"/>
    <x v="54"/>
    <n v="144"/>
    <x v="0"/>
    <x v="2"/>
    <x v="0"/>
    <x v="0"/>
  </r>
  <r>
    <n v="510"/>
    <x v="52"/>
    <x v="0"/>
    <x v="81"/>
    <n v="64"/>
    <x v="0"/>
    <x v="2"/>
    <x v="0"/>
    <x v="0"/>
  </r>
  <r>
    <n v="511"/>
    <x v="53"/>
    <x v="0"/>
    <x v="60"/>
    <n v="33"/>
    <x v="0"/>
    <x v="2"/>
    <x v="0"/>
    <x v="1"/>
  </r>
  <r>
    <n v="512"/>
    <x v="53"/>
    <x v="0"/>
    <x v="61"/>
    <n v="144"/>
    <x v="0"/>
    <x v="2"/>
    <x v="0"/>
    <x v="1"/>
  </r>
  <r>
    <n v="513"/>
    <x v="53"/>
    <x v="0"/>
    <x v="55"/>
    <n v="120"/>
    <x v="0"/>
    <x v="2"/>
    <x v="0"/>
    <x v="1"/>
  </r>
  <r>
    <n v="514"/>
    <x v="53"/>
    <x v="0"/>
    <x v="62"/>
    <n v="16"/>
    <x v="0"/>
    <x v="2"/>
    <x v="0"/>
    <x v="1"/>
  </r>
  <r>
    <n v="515"/>
    <x v="53"/>
    <x v="0"/>
    <x v="49"/>
    <n v="225"/>
    <x v="0"/>
    <x v="2"/>
    <x v="0"/>
    <x v="1"/>
  </r>
  <r>
    <n v="516"/>
    <x v="53"/>
    <x v="0"/>
    <x v="50"/>
    <n v="36"/>
    <x v="0"/>
    <x v="2"/>
    <x v="0"/>
    <x v="1"/>
  </r>
  <r>
    <n v="517"/>
    <x v="53"/>
    <x v="0"/>
    <x v="51"/>
    <n v="108"/>
    <x v="0"/>
    <x v="2"/>
    <x v="0"/>
    <x v="1"/>
  </r>
  <r>
    <n v="518"/>
    <x v="53"/>
    <x v="0"/>
    <x v="56"/>
    <n v="128"/>
    <x v="0"/>
    <x v="2"/>
    <x v="0"/>
    <x v="1"/>
  </r>
  <r>
    <n v="519"/>
    <x v="53"/>
    <x v="0"/>
    <x v="54"/>
    <n v="240"/>
    <x v="0"/>
    <x v="2"/>
    <x v="0"/>
    <x v="1"/>
  </r>
  <r>
    <n v="520"/>
    <x v="53"/>
    <x v="0"/>
    <x v="81"/>
    <n v="192"/>
    <x v="0"/>
    <x v="2"/>
    <x v="0"/>
    <x v="1"/>
  </r>
  <r>
    <n v="521"/>
    <x v="53"/>
    <x v="0"/>
    <x v="57"/>
    <n v="64"/>
    <x v="0"/>
    <x v="2"/>
    <x v="0"/>
    <x v="1"/>
  </r>
  <r>
    <n v="522"/>
    <x v="53"/>
    <x v="0"/>
    <x v="58"/>
    <n v="48"/>
    <x v="0"/>
    <x v="2"/>
    <x v="0"/>
    <x v="1"/>
  </r>
  <r>
    <n v="523"/>
    <x v="53"/>
    <x v="0"/>
    <x v="59"/>
    <n v="105"/>
    <x v="0"/>
    <x v="2"/>
    <x v="0"/>
    <x v="1"/>
  </r>
  <r>
    <n v="524"/>
    <x v="53"/>
    <x v="0"/>
    <x v="82"/>
    <n v="3"/>
    <x v="0"/>
    <x v="3"/>
    <x v="0"/>
    <x v="0"/>
  </r>
  <r>
    <n v="525"/>
    <x v="53"/>
    <x v="0"/>
    <x v="83"/>
    <n v="3"/>
    <x v="0"/>
    <x v="3"/>
    <x v="0"/>
    <x v="0"/>
  </r>
  <r>
    <n v="526"/>
    <x v="53"/>
    <x v="0"/>
    <x v="84"/>
    <n v="3"/>
    <x v="0"/>
    <x v="3"/>
    <x v="0"/>
    <x v="0"/>
  </r>
  <r>
    <n v="527"/>
    <x v="54"/>
    <x v="0"/>
    <x v="85"/>
    <n v="36"/>
    <x v="0"/>
    <x v="2"/>
    <x v="0"/>
    <x v="2"/>
  </r>
  <r>
    <n v="528"/>
    <x v="54"/>
    <x v="0"/>
    <x v="76"/>
    <n v="27"/>
    <x v="0"/>
    <x v="2"/>
    <x v="0"/>
    <x v="2"/>
  </r>
  <r>
    <n v="529"/>
    <x v="54"/>
    <x v="0"/>
    <x v="86"/>
    <n v="42"/>
    <x v="0"/>
    <x v="2"/>
    <x v="0"/>
    <x v="2"/>
  </r>
  <r>
    <n v="530"/>
    <x v="54"/>
    <x v="0"/>
    <x v="87"/>
    <n v="56"/>
    <x v="0"/>
    <x v="2"/>
    <x v="0"/>
    <x v="2"/>
  </r>
  <r>
    <n v="531"/>
    <x v="54"/>
    <x v="0"/>
    <x v="88"/>
    <n v="42"/>
    <x v="0"/>
    <x v="2"/>
    <x v="0"/>
    <x v="2"/>
  </r>
  <r>
    <n v="532"/>
    <x v="54"/>
    <x v="0"/>
    <x v="62"/>
    <n v="80"/>
    <x v="0"/>
    <x v="2"/>
    <x v="0"/>
    <x v="2"/>
  </r>
  <r>
    <n v="533"/>
    <x v="54"/>
    <x v="0"/>
    <x v="89"/>
    <n v="33"/>
    <x v="0"/>
    <x v="2"/>
    <x v="0"/>
    <x v="2"/>
  </r>
  <r>
    <n v="534"/>
    <x v="54"/>
    <x v="0"/>
    <x v="90"/>
    <n v="21"/>
    <x v="0"/>
    <x v="2"/>
    <x v="0"/>
    <x v="2"/>
  </r>
  <r>
    <n v="535"/>
    <x v="54"/>
    <x v="0"/>
    <x v="91"/>
    <n v="10"/>
    <x v="0"/>
    <x v="2"/>
    <x v="0"/>
    <x v="2"/>
  </r>
  <r>
    <n v="536"/>
    <x v="54"/>
    <x v="0"/>
    <x v="92"/>
    <n v="8"/>
    <x v="0"/>
    <x v="2"/>
    <x v="0"/>
    <x v="2"/>
  </r>
  <r>
    <n v="537"/>
    <x v="54"/>
    <x v="0"/>
    <x v="49"/>
    <n v="135"/>
    <x v="0"/>
    <x v="2"/>
    <x v="0"/>
    <x v="2"/>
  </r>
  <r>
    <n v="538"/>
    <x v="54"/>
    <x v="0"/>
    <x v="50"/>
    <n v="108"/>
    <x v="0"/>
    <x v="2"/>
    <x v="0"/>
    <x v="2"/>
  </r>
  <r>
    <n v="539"/>
    <x v="54"/>
    <x v="0"/>
    <x v="53"/>
    <n v="432"/>
    <x v="0"/>
    <x v="2"/>
    <x v="0"/>
    <x v="2"/>
  </r>
  <r>
    <n v="540"/>
    <x v="54"/>
    <x v="0"/>
    <x v="54"/>
    <n v="312"/>
    <x v="0"/>
    <x v="2"/>
    <x v="0"/>
    <x v="2"/>
  </r>
  <r>
    <n v="541"/>
    <x v="54"/>
    <x v="0"/>
    <x v="93"/>
    <n v="128"/>
    <x v="0"/>
    <x v="2"/>
    <x v="0"/>
    <x v="2"/>
  </r>
  <r>
    <n v="542"/>
    <x v="54"/>
    <x v="0"/>
    <x v="81"/>
    <n v="64"/>
    <x v="0"/>
    <x v="2"/>
    <x v="0"/>
    <x v="2"/>
  </r>
  <r>
    <n v="543"/>
    <x v="54"/>
    <x v="0"/>
    <x v="94"/>
    <n v="48"/>
    <x v="0"/>
    <x v="2"/>
    <x v="0"/>
    <x v="2"/>
  </r>
  <r>
    <n v="544"/>
    <x v="54"/>
    <x v="0"/>
    <x v="95"/>
    <n v="40"/>
    <x v="0"/>
    <x v="2"/>
    <x v="0"/>
    <x v="2"/>
  </r>
  <r>
    <n v="545"/>
    <x v="54"/>
    <x v="0"/>
    <x v="96"/>
    <n v="18"/>
    <x v="0"/>
    <x v="2"/>
    <x v="0"/>
    <x v="2"/>
  </r>
  <r>
    <n v="546"/>
    <x v="54"/>
    <x v="0"/>
    <x v="97"/>
    <n v="18"/>
    <x v="0"/>
    <x v="2"/>
    <x v="0"/>
    <x v="2"/>
  </r>
  <r>
    <n v="547"/>
    <x v="54"/>
    <x v="0"/>
    <x v="98"/>
    <n v="5"/>
    <x v="0"/>
    <x v="2"/>
    <x v="0"/>
    <x v="2"/>
  </r>
  <r>
    <n v="548"/>
    <x v="54"/>
    <x v="0"/>
    <x v="99"/>
    <n v="30"/>
    <x v="0"/>
    <x v="2"/>
    <x v="0"/>
    <x v="2"/>
  </r>
  <r>
    <n v="549"/>
    <x v="54"/>
    <x v="0"/>
    <x v="100"/>
    <n v="18"/>
    <x v="0"/>
    <x v="2"/>
    <x v="0"/>
    <x v="2"/>
  </r>
  <r>
    <n v="550"/>
    <x v="54"/>
    <x v="0"/>
    <x v="101"/>
    <n v="27"/>
    <x v="0"/>
    <x v="2"/>
    <x v="0"/>
    <x v="2"/>
  </r>
  <r>
    <n v="551"/>
    <x v="54"/>
    <x v="0"/>
    <x v="102"/>
    <n v="40"/>
    <x v="0"/>
    <x v="2"/>
    <x v="0"/>
    <x v="2"/>
  </r>
  <r>
    <n v="552"/>
    <x v="54"/>
    <x v="0"/>
    <x v="64"/>
    <n v="200"/>
    <x v="0"/>
    <x v="2"/>
    <x v="0"/>
    <x v="3"/>
  </r>
  <r>
    <n v="553"/>
    <x v="54"/>
    <x v="0"/>
    <x v="65"/>
    <n v="100"/>
    <x v="0"/>
    <x v="2"/>
    <x v="0"/>
    <x v="3"/>
  </r>
  <r>
    <n v="554"/>
    <x v="54"/>
    <x v="0"/>
    <x v="66"/>
    <n v="36"/>
    <x v="0"/>
    <x v="2"/>
    <x v="0"/>
    <x v="3"/>
  </r>
  <r>
    <n v="555"/>
    <x v="54"/>
    <x v="0"/>
    <x v="67"/>
    <n v="18"/>
    <x v="0"/>
    <x v="2"/>
    <x v="0"/>
    <x v="3"/>
  </r>
  <r>
    <n v="556"/>
    <x v="54"/>
    <x v="0"/>
    <x v="68"/>
    <n v="60"/>
    <x v="0"/>
    <x v="2"/>
    <x v="0"/>
    <x v="3"/>
  </r>
  <r>
    <n v="557"/>
    <x v="54"/>
    <x v="0"/>
    <x v="69"/>
    <n v="24"/>
    <x v="0"/>
    <x v="2"/>
    <x v="0"/>
    <x v="3"/>
  </r>
  <r>
    <n v="558"/>
    <x v="54"/>
    <x v="0"/>
    <x v="70"/>
    <n v="40"/>
    <x v="0"/>
    <x v="2"/>
    <x v="0"/>
    <x v="3"/>
  </r>
  <r>
    <n v="559"/>
    <x v="54"/>
    <x v="0"/>
    <x v="71"/>
    <n v="8"/>
    <x v="0"/>
    <x v="2"/>
    <x v="0"/>
    <x v="3"/>
  </r>
  <r>
    <n v="560"/>
    <x v="54"/>
    <x v="0"/>
    <x v="72"/>
    <n v="99"/>
    <x v="0"/>
    <x v="2"/>
    <x v="0"/>
    <x v="3"/>
  </r>
  <r>
    <n v="561"/>
    <x v="54"/>
    <x v="0"/>
    <x v="73"/>
    <n v="44"/>
    <x v="0"/>
    <x v="2"/>
    <x v="0"/>
    <x v="3"/>
  </r>
  <r>
    <n v="562"/>
    <x v="54"/>
    <x v="0"/>
    <x v="74"/>
    <n v="44"/>
    <x v="0"/>
    <x v="2"/>
    <x v="0"/>
    <x v="3"/>
  </r>
  <r>
    <n v="563"/>
    <x v="54"/>
    <x v="0"/>
    <x v="103"/>
    <n v="30"/>
    <x v="0"/>
    <x v="2"/>
    <x v="0"/>
    <x v="3"/>
  </r>
  <r>
    <n v="564"/>
    <x v="54"/>
    <x v="0"/>
    <x v="104"/>
    <n v="20"/>
    <x v="0"/>
    <x v="2"/>
    <x v="0"/>
    <x v="3"/>
  </r>
  <r>
    <n v="565"/>
    <x v="54"/>
    <x v="0"/>
    <x v="105"/>
    <n v="14"/>
    <x v="0"/>
    <x v="2"/>
    <x v="0"/>
    <x v="3"/>
  </r>
  <r>
    <n v="566"/>
    <x v="54"/>
    <x v="0"/>
    <x v="49"/>
    <n v="135"/>
    <x v="0"/>
    <x v="2"/>
    <x v="0"/>
    <x v="3"/>
  </r>
  <r>
    <n v="567"/>
    <x v="54"/>
    <x v="0"/>
    <x v="53"/>
    <n v="96"/>
    <x v="0"/>
    <x v="2"/>
    <x v="0"/>
    <x v="3"/>
  </r>
  <r>
    <n v="568"/>
    <x v="54"/>
    <x v="0"/>
    <x v="54"/>
    <n v="96"/>
    <x v="0"/>
    <x v="2"/>
    <x v="0"/>
    <x v="3"/>
  </r>
  <r>
    <n v="569"/>
    <x v="55"/>
    <x v="0"/>
    <x v="85"/>
    <n v="72"/>
    <x v="0"/>
    <x v="2"/>
    <x v="0"/>
    <x v="4"/>
  </r>
  <r>
    <n v="570"/>
    <x v="55"/>
    <x v="0"/>
    <x v="87"/>
    <n v="56"/>
    <x v="0"/>
    <x v="2"/>
    <x v="0"/>
    <x v="4"/>
  </r>
  <r>
    <n v="571"/>
    <x v="55"/>
    <x v="0"/>
    <x v="60"/>
    <n v="168"/>
    <x v="0"/>
    <x v="2"/>
    <x v="0"/>
    <x v="4"/>
  </r>
  <r>
    <n v="572"/>
    <x v="55"/>
    <x v="0"/>
    <x v="61"/>
    <n v="36"/>
    <x v="0"/>
    <x v="2"/>
    <x v="0"/>
    <x v="4"/>
  </r>
  <r>
    <n v="573"/>
    <x v="55"/>
    <x v="0"/>
    <x v="55"/>
    <n v="160"/>
    <x v="0"/>
    <x v="2"/>
    <x v="0"/>
    <x v="4"/>
  </r>
  <r>
    <n v="574"/>
    <x v="55"/>
    <x v="0"/>
    <x v="62"/>
    <n v="96"/>
    <x v="0"/>
    <x v="2"/>
    <x v="0"/>
    <x v="4"/>
  </r>
  <r>
    <n v="575"/>
    <x v="55"/>
    <x v="0"/>
    <x v="89"/>
    <n v="165"/>
    <x v="0"/>
    <x v="2"/>
    <x v="0"/>
    <x v="4"/>
  </r>
  <r>
    <n v="576"/>
    <x v="55"/>
    <x v="0"/>
    <x v="90"/>
    <n v="63"/>
    <x v="0"/>
    <x v="2"/>
    <x v="0"/>
    <x v="4"/>
  </r>
  <r>
    <n v="577"/>
    <x v="55"/>
    <x v="0"/>
    <x v="49"/>
    <n v="135"/>
    <x v="0"/>
    <x v="2"/>
    <x v="0"/>
    <x v="4"/>
  </r>
  <r>
    <n v="578"/>
    <x v="55"/>
    <x v="0"/>
    <x v="53"/>
    <n v="48"/>
    <x v="0"/>
    <x v="2"/>
    <x v="0"/>
    <x v="4"/>
  </r>
  <r>
    <n v="579"/>
    <x v="55"/>
    <x v="0"/>
    <x v="54"/>
    <n v="192"/>
    <x v="0"/>
    <x v="2"/>
    <x v="0"/>
    <x v="4"/>
  </r>
  <r>
    <n v="580"/>
    <x v="55"/>
    <x v="0"/>
    <x v="93"/>
    <n v="128"/>
    <x v="0"/>
    <x v="2"/>
    <x v="0"/>
    <x v="4"/>
  </r>
  <r>
    <n v="581"/>
    <x v="55"/>
    <x v="0"/>
    <x v="58"/>
    <n v="96"/>
    <x v="0"/>
    <x v="2"/>
    <x v="0"/>
    <x v="4"/>
  </r>
  <r>
    <n v="582"/>
    <x v="55"/>
    <x v="0"/>
    <x v="59"/>
    <n v="45"/>
    <x v="0"/>
    <x v="2"/>
    <x v="0"/>
    <x v="4"/>
  </r>
  <r>
    <n v="583"/>
    <x v="55"/>
    <x v="0"/>
    <x v="100"/>
    <n v="18"/>
    <x v="0"/>
    <x v="2"/>
    <x v="0"/>
    <x v="4"/>
  </r>
  <r>
    <n v="584"/>
    <x v="55"/>
    <x v="0"/>
    <x v="101"/>
    <n v="108"/>
    <x v="0"/>
    <x v="2"/>
    <x v="0"/>
    <x v="4"/>
  </r>
  <r>
    <n v="585"/>
    <x v="55"/>
    <x v="0"/>
    <x v="102"/>
    <n v="40"/>
    <x v="0"/>
    <x v="2"/>
    <x v="0"/>
    <x v="4"/>
  </r>
  <r>
    <n v="648"/>
    <x v="52"/>
    <x v="1"/>
    <x v="64"/>
    <n v="-30"/>
    <x v="0"/>
    <x v="4"/>
    <x v="2"/>
    <x v="5"/>
  </r>
  <r>
    <n v="649"/>
    <x v="52"/>
    <x v="0"/>
    <x v="106"/>
    <n v="30"/>
    <x v="0"/>
    <x v="4"/>
    <x v="2"/>
    <x v="5"/>
  </r>
  <r>
    <n v="650"/>
    <x v="52"/>
    <x v="1"/>
    <x v="65"/>
    <n v="-20"/>
    <x v="0"/>
    <x v="4"/>
    <x v="2"/>
    <x v="5"/>
  </r>
  <r>
    <n v="651"/>
    <x v="52"/>
    <x v="0"/>
    <x v="107"/>
    <n v="20"/>
    <x v="0"/>
    <x v="4"/>
    <x v="2"/>
    <x v="5"/>
  </r>
  <r>
    <n v="652"/>
    <x v="52"/>
    <x v="1"/>
    <x v="66"/>
    <n v="-9"/>
    <x v="0"/>
    <x v="4"/>
    <x v="2"/>
    <x v="5"/>
  </r>
  <r>
    <n v="653"/>
    <x v="52"/>
    <x v="0"/>
    <x v="108"/>
    <n v="9"/>
    <x v="0"/>
    <x v="4"/>
    <x v="2"/>
    <x v="5"/>
  </r>
  <r>
    <n v="654"/>
    <x v="52"/>
    <x v="1"/>
    <x v="67"/>
    <n v="-9"/>
    <x v="0"/>
    <x v="4"/>
    <x v="2"/>
    <x v="5"/>
  </r>
  <r>
    <n v="655"/>
    <x v="52"/>
    <x v="0"/>
    <x v="109"/>
    <n v="9"/>
    <x v="0"/>
    <x v="4"/>
    <x v="2"/>
    <x v="5"/>
  </r>
  <r>
    <n v="656"/>
    <x v="52"/>
    <x v="1"/>
    <x v="61"/>
    <n v="-36"/>
    <x v="0"/>
    <x v="4"/>
    <x v="2"/>
    <x v="5"/>
  </r>
  <r>
    <n v="657"/>
    <x v="52"/>
    <x v="0"/>
    <x v="110"/>
    <n v="36"/>
    <x v="0"/>
    <x v="4"/>
    <x v="2"/>
    <x v="5"/>
  </r>
  <r>
    <n v="658"/>
    <x v="52"/>
    <x v="1"/>
    <x v="55"/>
    <n v="-60"/>
    <x v="0"/>
    <x v="4"/>
    <x v="2"/>
    <x v="5"/>
  </r>
  <r>
    <n v="659"/>
    <x v="52"/>
    <x v="0"/>
    <x v="111"/>
    <n v="60"/>
    <x v="0"/>
    <x v="4"/>
    <x v="2"/>
    <x v="5"/>
  </r>
  <r>
    <n v="660"/>
    <x v="52"/>
    <x v="1"/>
    <x v="62"/>
    <n v="-16"/>
    <x v="0"/>
    <x v="4"/>
    <x v="2"/>
    <x v="5"/>
  </r>
  <r>
    <n v="661"/>
    <x v="52"/>
    <x v="0"/>
    <x v="112"/>
    <n v="16"/>
    <x v="0"/>
    <x v="4"/>
    <x v="2"/>
    <x v="5"/>
  </r>
  <r>
    <n v="662"/>
    <x v="52"/>
    <x v="1"/>
    <x v="68"/>
    <n v="-30"/>
    <x v="0"/>
    <x v="4"/>
    <x v="2"/>
    <x v="5"/>
  </r>
  <r>
    <n v="663"/>
    <x v="52"/>
    <x v="0"/>
    <x v="113"/>
    <n v="30"/>
    <x v="0"/>
    <x v="4"/>
    <x v="2"/>
    <x v="5"/>
  </r>
  <r>
    <n v="664"/>
    <x v="52"/>
    <x v="1"/>
    <x v="69"/>
    <n v="-16"/>
    <x v="0"/>
    <x v="4"/>
    <x v="2"/>
    <x v="5"/>
  </r>
  <r>
    <n v="665"/>
    <x v="52"/>
    <x v="0"/>
    <x v="114"/>
    <n v="16"/>
    <x v="0"/>
    <x v="4"/>
    <x v="2"/>
    <x v="5"/>
  </r>
  <r>
    <n v="666"/>
    <x v="52"/>
    <x v="1"/>
    <x v="70"/>
    <n v="-16"/>
    <x v="0"/>
    <x v="4"/>
    <x v="2"/>
    <x v="5"/>
  </r>
  <r>
    <n v="667"/>
    <x v="52"/>
    <x v="0"/>
    <x v="115"/>
    <n v="16"/>
    <x v="0"/>
    <x v="4"/>
    <x v="2"/>
    <x v="5"/>
  </r>
  <r>
    <n v="668"/>
    <x v="52"/>
    <x v="1"/>
    <x v="71"/>
    <n v="-16"/>
    <x v="0"/>
    <x v="4"/>
    <x v="2"/>
    <x v="5"/>
  </r>
  <r>
    <n v="669"/>
    <x v="52"/>
    <x v="0"/>
    <x v="116"/>
    <n v="16"/>
    <x v="0"/>
    <x v="4"/>
    <x v="2"/>
    <x v="5"/>
  </r>
  <r>
    <n v="670"/>
    <x v="52"/>
    <x v="1"/>
    <x v="49"/>
    <n v="-180"/>
    <x v="0"/>
    <x v="4"/>
    <x v="2"/>
    <x v="5"/>
  </r>
  <r>
    <n v="671"/>
    <x v="52"/>
    <x v="0"/>
    <x v="117"/>
    <n v="180"/>
    <x v="0"/>
    <x v="4"/>
    <x v="2"/>
    <x v="5"/>
  </r>
  <r>
    <n v="672"/>
    <x v="52"/>
    <x v="1"/>
    <x v="50"/>
    <n v="-144"/>
    <x v="0"/>
    <x v="4"/>
    <x v="2"/>
    <x v="5"/>
  </r>
  <r>
    <n v="673"/>
    <x v="52"/>
    <x v="0"/>
    <x v="118"/>
    <n v="144"/>
    <x v="0"/>
    <x v="4"/>
    <x v="2"/>
    <x v="5"/>
  </r>
  <r>
    <n v="674"/>
    <x v="52"/>
    <x v="1"/>
    <x v="51"/>
    <n v="-27"/>
    <x v="0"/>
    <x v="4"/>
    <x v="2"/>
    <x v="5"/>
  </r>
  <r>
    <n v="675"/>
    <x v="52"/>
    <x v="0"/>
    <x v="119"/>
    <n v="27"/>
    <x v="0"/>
    <x v="4"/>
    <x v="2"/>
    <x v="5"/>
  </r>
  <r>
    <n v="676"/>
    <x v="52"/>
    <x v="1"/>
    <x v="56"/>
    <n v="-32"/>
    <x v="0"/>
    <x v="4"/>
    <x v="2"/>
    <x v="5"/>
  </r>
  <r>
    <n v="677"/>
    <x v="52"/>
    <x v="0"/>
    <x v="120"/>
    <n v="32"/>
    <x v="0"/>
    <x v="4"/>
    <x v="2"/>
    <x v="5"/>
  </r>
  <r>
    <n v="678"/>
    <x v="52"/>
    <x v="1"/>
    <x v="52"/>
    <n v="-30"/>
    <x v="0"/>
    <x v="4"/>
    <x v="2"/>
    <x v="5"/>
  </r>
  <r>
    <n v="679"/>
    <x v="52"/>
    <x v="0"/>
    <x v="121"/>
    <n v="30"/>
    <x v="0"/>
    <x v="4"/>
    <x v="2"/>
    <x v="5"/>
  </r>
  <r>
    <n v="680"/>
    <x v="52"/>
    <x v="1"/>
    <x v="63"/>
    <n v="-80"/>
    <x v="0"/>
    <x v="4"/>
    <x v="2"/>
    <x v="5"/>
  </r>
  <r>
    <n v="681"/>
    <x v="52"/>
    <x v="0"/>
    <x v="122"/>
    <n v="80"/>
    <x v="0"/>
    <x v="4"/>
    <x v="2"/>
    <x v="5"/>
  </r>
  <r>
    <n v="682"/>
    <x v="52"/>
    <x v="1"/>
    <x v="53"/>
    <n v="-144"/>
    <x v="0"/>
    <x v="4"/>
    <x v="2"/>
    <x v="5"/>
  </r>
  <r>
    <n v="683"/>
    <x v="52"/>
    <x v="0"/>
    <x v="123"/>
    <n v="144"/>
    <x v="0"/>
    <x v="4"/>
    <x v="2"/>
    <x v="5"/>
  </r>
  <r>
    <n v="684"/>
    <x v="52"/>
    <x v="1"/>
    <x v="54"/>
    <n v="-48"/>
    <x v="0"/>
    <x v="4"/>
    <x v="2"/>
    <x v="5"/>
  </r>
  <r>
    <n v="685"/>
    <x v="52"/>
    <x v="0"/>
    <x v="124"/>
    <n v="48"/>
    <x v="0"/>
    <x v="4"/>
    <x v="2"/>
    <x v="5"/>
  </r>
  <r>
    <n v="686"/>
    <x v="52"/>
    <x v="1"/>
    <x v="57"/>
    <n v="-128"/>
    <x v="0"/>
    <x v="4"/>
    <x v="2"/>
    <x v="5"/>
  </r>
  <r>
    <n v="687"/>
    <x v="52"/>
    <x v="0"/>
    <x v="125"/>
    <n v="128"/>
    <x v="0"/>
    <x v="4"/>
    <x v="2"/>
    <x v="5"/>
  </r>
  <r>
    <n v="688"/>
    <x v="52"/>
    <x v="1"/>
    <x v="58"/>
    <n v="-96"/>
    <x v="0"/>
    <x v="4"/>
    <x v="2"/>
    <x v="5"/>
  </r>
  <r>
    <n v="689"/>
    <x v="52"/>
    <x v="0"/>
    <x v="126"/>
    <n v="96"/>
    <x v="0"/>
    <x v="4"/>
    <x v="2"/>
    <x v="5"/>
  </r>
  <r>
    <n v="690"/>
    <x v="52"/>
    <x v="1"/>
    <x v="59"/>
    <n v="-90"/>
    <x v="0"/>
    <x v="4"/>
    <x v="2"/>
    <x v="5"/>
  </r>
  <r>
    <n v="691"/>
    <x v="52"/>
    <x v="0"/>
    <x v="127"/>
    <n v="90"/>
    <x v="0"/>
    <x v="4"/>
    <x v="2"/>
    <x v="5"/>
  </r>
  <r>
    <n v="692"/>
    <x v="51"/>
    <x v="0"/>
    <x v="0"/>
    <n v="1100"/>
    <x v="0"/>
    <x v="0"/>
    <x v="0"/>
    <x v="0"/>
  </r>
  <r>
    <n v="693"/>
    <x v="51"/>
    <x v="0"/>
    <x v="1"/>
    <n v="700"/>
    <x v="0"/>
    <x v="0"/>
    <x v="0"/>
    <x v="0"/>
  </r>
  <r>
    <n v="694"/>
    <x v="51"/>
    <x v="0"/>
    <x v="2"/>
    <n v="300"/>
    <x v="0"/>
    <x v="0"/>
    <x v="0"/>
    <x v="0"/>
  </r>
  <r>
    <n v="695"/>
    <x v="51"/>
    <x v="0"/>
    <x v="4"/>
    <n v="150"/>
    <x v="0"/>
    <x v="0"/>
    <x v="0"/>
    <x v="0"/>
  </r>
  <r>
    <n v="696"/>
    <x v="51"/>
    <x v="0"/>
    <x v="5"/>
    <n v="90"/>
    <x v="0"/>
    <x v="0"/>
    <x v="0"/>
    <x v="0"/>
  </r>
  <r>
    <n v="697"/>
    <x v="51"/>
    <x v="0"/>
    <x v="6"/>
    <n v="150"/>
    <x v="0"/>
    <x v="0"/>
    <x v="0"/>
    <x v="0"/>
  </r>
  <r>
    <n v="698"/>
    <x v="51"/>
    <x v="0"/>
    <x v="7"/>
    <n v="60"/>
    <x v="0"/>
    <x v="0"/>
    <x v="0"/>
    <x v="0"/>
  </r>
  <r>
    <n v="699"/>
    <x v="51"/>
    <x v="0"/>
    <x v="8"/>
    <n v="30"/>
    <x v="0"/>
    <x v="0"/>
    <x v="0"/>
    <x v="0"/>
  </r>
  <r>
    <n v="700"/>
    <x v="51"/>
    <x v="0"/>
    <x v="9"/>
    <n v="60"/>
    <x v="0"/>
    <x v="0"/>
    <x v="0"/>
    <x v="0"/>
  </r>
  <r>
    <n v="701"/>
    <x v="51"/>
    <x v="0"/>
    <x v="30"/>
    <n v="27"/>
    <x v="0"/>
    <x v="0"/>
    <x v="0"/>
    <x v="0"/>
  </r>
  <r>
    <n v="702"/>
    <x v="51"/>
    <x v="0"/>
    <x v="31"/>
    <n v="30"/>
    <x v="0"/>
    <x v="0"/>
    <x v="0"/>
    <x v="0"/>
  </r>
  <r>
    <n v="703"/>
    <x v="52"/>
    <x v="0"/>
    <x v="0"/>
    <n v="1065"/>
    <x v="0"/>
    <x v="0"/>
    <x v="0"/>
    <x v="0"/>
  </r>
  <r>
    <n v="704"/>
    <x v="52"/>
    <x v="0"/>
    <x v="1"/>
    <n v="800"/>
    <x v="0"/>
    <x v="0"/>
    <x v="0"/>
    <x v="0"/>
  </r>
  <r>
    <n v="705"/>
    <x v="52"/>
    <x v="0"/>
    <x v="3"/>
    <n v="160"/>
    <x v="0"/>
    <x v="0"/>
    <x v="0"/>
    <x v="0"/>
  </r>
  <r>
    <n v="706"/>
    <x v="52"/>
    <x v="0"/>
    <x v="4"/>
    <n v="210"/>
    <x v="0"/>
    <x v="0"/>
    <x v="0"/>
    <x v="0"/>
  </r>
  <r>
    <n v="707"/>
    <x v="52"/>
    <x v="0"/>
    <x v="5"/>
    <n v="30"/>
    <x v="0"/>
    <x v="0"/>
    <x v="0"/>
    <x v="0"/>
  </r>
  <r>
    <n v="708"/>
    <x v="52"/>
    <x v="0"/>
    <x v="6"/>
    <n v="180"/>
    <x v="0"/>
    <x v="0"/>
    <x v="0"/>
    <x v="0"/>
  </r>
  <r>
    <n v="709"/>
    <x v="52"/>
    <x v="0"/>
    <x v="9"/>
    <n v="210"/>
    <x v="0"/>
    <x v="0"/>
    <x v="0"/>
    <x v="0"/>
  </r>
  <r>
    <n v="710"/>
    <x v="55"/>
    <x v="0"/>
    <x v="0"/>
    <n v="720"/>
    <x v="0"/>
    <x v="0"/>
    <x v="0"/>
    <x v="0"/>
  </r>
  <r>
    <n v="711"/>
    <x v="55"/>
    <x v="0"/>
    <x v="1"/>
    <n v="300"/>
    <x v="0"/>
    <x v="0"/>
    <x v="0"/>
    <x v="0"/>
  </r>
  <r>
    <n v="712"/>
    <x v="55"/>
    <x v="0"/>
    <x v="2"/>
    <n v="300"/>
    <x v="0"/>
    <x v="0"/>
    <x v="0"/>
    <x v="0"/>
  </r>
  <r>
    <n v="713"/>
    <x v="55"/>
    <x v="0"/>
    <x v="3"/>
    <n v="160"/>
    <x v="0"/>
    <x v="0"/>
    <x v="0"/>
    <x v="0"/>
  </r>
  <r>
    <n v="714"/>
    <x v="55"/>
    <x v="0"/>
    <x v="4"/>
    <n v="60"/>
    <x v="0"/>
    <x v="0"/>
    <x v="0"/>
    <x v="0"/>
  </r>
  <r>
    <n v="715"/>
    <x v="55"/>
    <x v="0"/>
    <x v="5"/>
    <n v="60"/>
    <x v="0"/>
    <x v="0"/>
    <x v="0"/>
    <x v="0"/>
  </r>
  <r>
    <n v="716"/>
    <x v="55"/>
    <x v="0"/>
    <x v="6"/>
    <n v="150"/>
    <x v="0"/>
    <x v="0"/>
    <x v="0"/>
    <x v="0"/>
  </r>
  <r>
    <n v="717"/>
    <x v="55"/>
    <x v="0"/>
    <x v="7"/>
    <n v="30"/>
    <x v="0"/>
    <x v="0"/>
    <x v="0"/>
    <x v="0"/>
  </r>
  <r>
    <n v="718"/>
    <x v="55"/>
    <x v="0"/>
    <x v="9"/>
    <n v="30"/>
    <x v="0"/>
    <x v="0"/>
    <x v="0"/>
    <x v="0"/>
  </r>
  <r>
    <n v="719"/>
    <x v="55"/>
    <x v="0"/>
    <x v="30"/>
    <n v="81"/>
    <x v="0"/>
    <x v="0"/>
    <x v="0"/>
    <x v="0"/>
  </r>
  <r>
    <n v="720"/>
    <x v="55"/>
    <x v="0"/>
    <x v="31"/>
    <n v="120"/>
    <x v="0"/>
    <x v="0"/>
    <x v="0"/>
    <x v="0"/>
  </r>
  <r>
    <n v="721"/>
    <x v="55"/>
    <x v="0"/>
    <x v="32"/>
    <n v="30"/>
    <x v="0"/>
    <x v="0"/>
    <x v="0"/>
    <x v="0"/>
  </r>
  <r>
    <n v="722"/>
    <x v="56"/>
    <x v="1"/>
    <x v="68"/>
    <n v="-20"/>
    <x v="0"/>
    <x v="4"/>
    <x v="3"/>
    <x v="0"/>
  </r>
  <r>
    <n v="723"/>
    <x v="56"/>
    <x v="0"/>
    <x v="128"/>
    <n v="20"/>
    <x v="0"/>
    <x v="4"/>
    <x v="3"/>
    <x v="0"/>
  </r>
  <r>
    <n v="724"/>
    <x v="56"/>
    <x v="1"/>
    <x v="71"/>
    <n v="-4"/>
    <x v="0"/>
    <x v="4"/>
    <x v="3"/>
    <x v="0"/>
  </r>
  <r>
    <n v="725"/>
    <x v="56"/>
    <x v="0"/>
    <x v="129"/>
    <n v="4"/>
    <x v="0"/>
    <x v="4"/>
    <x v="3"/>
    <x v="0"/>
  </r>
  <r>
    <n v="726"/>
    <x v="56"/>
    <x v="1"/>
    <x v="105"/>
    <n v="-2"/>
    <x v="0"/>
    <x v="4"/>
    <x v="3"/>
    <x v="0"/>
  </r>
  <r>
    <n v="727"/>
    <x v="56"/>
    <x v="0"/>
    <x v="130"/>
    <n v="2"/>
    <x v="0"/>
    <x v="4"/>
    <x v="3"/>
    <x v="0"/>
  </r>
  <r>
    <n v="728"/>
    <x v="57"/>
    <x v="0"/>
    <x v="85"/>
    <n v="108"/>
    <x v="0"/>
    <x v="2"/>
    <x v="0"/>
    <x v="6"/>
  </r>
  <r>
    <n v="729"/>
    <x v="57"/>
    <x v="0"/>
    <x v="76"/>
    <n v="162"/>
    <x v="0"/>
    <x v="2"/>
    <x v="0"/>
    <x v="6"/>
  </r>
  <r>
    <n v="730"/>
    <x v="57"/>
    <x v="0"/>
    <x v="77"/>
    <n v="126"/>
    <x v="0"/>
    <x v="2"/>
    <x v="0"/>
    <x v="6"/>
  </r>
  <r>
    <n v="731"/>
    <x v="57"/>
    <x v="0"/>
    <x v="65"/>
    <n v="50"/>
    <x v="0"/>
    <x v="2"/>
    <x v="0"/>
    <x v="6"/>
  </r>
  <r>
    <n v="732"/>
    <x v="57"/>
    <x v="0"/>
    <x v="66"/>
    <n v="36"/>
    <x v="0"/>
    <x v="2"/>
    <x v="0"/>
    <x v="6"/>
  </r>
  <r>
    <n v="733"/>
    <x v="57"/>
    <x v="0"/>
    <x v="67"/>
    <n v="6"/>
    <x v="0"/>
    <x v="2"/>
    <x v="0"/>
    <x v="6"/>
  </r>
  <r>
    <n v="734"/>
    <x v="57"/>
    <x v="0"/>
    <x v="89"/>
    <n v="66"/>
    <x v="0"/>
    <x v="2"/>
    <x v="0"/>
    <x v="6"/>
  </r>
  <r>
    <n v="735"/>
    <x v="57"/>
    <x v="0"/>
    <x v="75"/>
    <n v="135"/>
    <x v="0"/>
    <x v="2"/>
    <x v="0"/>
    <x v="6"/>
  </r>
  <r>
    <n v="736"/>
    <x v="57"/>
    <x v="0"/>
    <x v="68"/>
    <n v="100"/>
    <x v="0"/>
    <x v="2"/>
    <x v="0"/>
    <x v="6"/>
  </r>
  <r>
    <n v="737"/>
    <x v="57"/>
    <x v="0"/>
    <x v="69"/>
    <n v="32"/>
    <x v="0"/>
    <x v="2"/>
    <x v="0"/>
    <x v="6"/>
  </r>
  <r>
    <n v="738"/>
    <x v="57"/>
    <x v="0"/>
    <x v="71"/>
    <n v="8"/>
    <x v="0"/>
    <x v="2"/>
    <x v="0"/>
    <x v="6"/>
  </r>
  <r>
    <n v="739"/>
    <x v="57"/>
    <x v="0"/>
    <x v="74"/>
    <n v="88"/>
    <x v="0"/>
    <x v="2"/>
    <x v="0"/>
    <x v="6"/>
  </r>
  <r>
    <n v="740"/>
    <x v="57"/>
    <x v="0"/>
    <x v="104"/>
    <n v="20"/>
    <x v="0"/>
    <x v="2"/>
    <x v="0"/>
    <x v="6"/>
  </r>
  <r>
    <n v="741"/>
    <x v="57"/>
    <x v="0"/>
    <x v="78"/>
    <n v="200"/>
    <x v="0"/>
    <x v="2"/>
    <x v="0"/>
    <x v="6"/>
  </r>
  <r>
    <n v="742"/>
    <x v="57"/>
    <x v="0"/>
    <x v="79"/>
    <n v="60"/>
    <x v="0"/>
    <x v="2"/>
    <x v="0"/>
    <x v="6"/>
  </r>
  <r>
    <n v="743"/>
    <x v="57"/>
    <x v="0"/>
    <x v="81"/>
    <n v="320"/>
    <x v="0"/>
    <x v="2"/>
    <x v="0"/>
    <x v="6"/>
  </r>
  <r>
    <n v="744"/>
    <x v="57"/>
    <x v="0"/>
    <x v="94"/>
    <n v="240"/>
    <x v="0"/>
    <x v="2"/>
    <x v="0"/>
    <x v="6"/>
  </r>
  <r>
    <n v="745"/>
    <x v="58"/>
    <x v="1"/>
    <x v="85"/>
    <n v="-144"/>
    <x v="0"/>
    <x v="4"/>
    <x v="2"/>
    <x v="7"/>
  </r>
  <r>
    <n v="746"/>
    <x v="58"/>
    <x v="0"/>
    <x v="131"/>
    <n v="144"/>
    <x v="0"/>
    <x v="4"/>
    <x v="2"/>
    <x v="7"/>
  </r>
  <r>
    <n v="747"/>
    <x v="58"/>
    <x v="1"/>
    <x v="76"/>
    <n v="-54"/>
    <x v="0"/>
    <x v="4"/>
    <x v="2"/>
    <x v="7"/>
  </r>
  <r>
    <n v="748"/>
    <x v="58"/>
    <x v="0"/>
    <x v="132"/>
    <n v="54"/>
    <x v="0"/>
    <x v="4"/>
    <x v="2"/>
    <x v="7"/>
  </r>
  <r>
    <n v="749"/>
    <x v="58"/>
    <x v="1"/>
    <x v="77"/>
    <n v="-84"/>
    <x v="0"/>
    <x v="4"/>
    <x v="2"/>
    <x v="7"/>
  </r>
  <r>
    <n v="750"/>
    <x v="58"/>
    <x v="0"/>
    <x v="133"/>
    <n v="84"/>
    <x v="0"/>
    <x v="4"/>
    <x v="2"/>
    <x v="7"/>
  </r>
  <r>
    <n v="751"/>
    <x v="58"/>
    <x v="1"/>
    <x v="64"/>
    <n v="-50"/>
    <x v="0"/>
    <x v="4"/>
    <x v="2"/>
    <x v="7"/>
  </r>
  <r>
    <n v="752"/>
    <x v="58"/>
    <x v="0"/>
    <x v="106"/>
    <n v="50"/>
    <x v="0"/>
    <x v="4"/>
    <x v="2"/>
    <x v="7"/>
  </r>
  <r>
    <n v="753"/>
    <x v="58"/>
    <x v="1"/>
    <x v="65"/>
    <n v="-40"/>
    <x v="0"/>
    <x v="4"/>
    <x v="2"/>
    <x v="7"/>
  </r>
  <r>
    <n v="754"/>
    <x v="58"/>
    <x v="0"/>
    <x v="107"/>
    <n v="40"/>
    <x v="0"/>
    <x v="4"/>
    <x v="2"/>
    <x v="7"/>
  </r>
  <r>
    <n v="755"/>
    <x v="58"/>
    <x v="1"/>
    <x v="87"/>
    <n v="-56"/>
    <x v="0"/>
    <x v="4"/>
    <x v="2"/>
    <x v="7"/>
  </r>
  <r>
    <n v="756"/>
    <x v="58"/>
    <x v="0"/>
    <x v="134"/>
    <n v="56"/>
    <x v="0"/>
    <x v="4"/>
    <x v="2"/>
    <x v="7"/>
  </r>
  <r>
    <n v="757"/>
    <x v="58"/>
    <x v="1"/>
    <x v="60"/>
    <n v="-84"/>
    <x v="0"/>
    <x v="4"/>
    <x v="2"/>
    <x v="7"/>
  </r>
  <r>
    <n v="758"/>
    <x v="58"/>
    <x v="0"/>
    <x v="135"/>
    <n v="84"/>
    <x v="0"/>
    <x v="4"/>
    <x v="2"/>
    <x v="7"/>
  </r>
  <r>
    <n v="759"/>
    <x v="58"/>
    <x v="1"/>
    <x v="61"/>
    <n v="-36"/>
    <x v="0"/>
    <x v="4"/>
    <x v="2"/>
    <x v="7"/>
  </r>
  <r>
    <n v="760"/>
    <x v="58"/>
    <x v="0"/>
    <x v="110"/>
    <n v="36"/>
    <x v="0"/>
    <x v="4"/>
    <x v="2"/>
    <x v="7"/>
  </r>
  <r>
    <n v="761"/>
    <x v="58"/>
    <x v="1"/>
    <x v="89"/>
    <n v="-66"/>
    <x v="0"/>
    <x v="4"/>
    <x v="2"/>
    <x v="7"/>
  </r>
  <r>
    <n v="762"/>
    <x v="58"/>
    <x v="0"/>
    <x v="136"/>
    <n v="66"/>
    <x v="0"/>
    <x v="4"/>
    <x v="2"/>
    <x v="7"/>
  </r>
  <r>
    <n v="763"/>
    <x v="58"/>
    <x v="1"/>
    <x v="90"/>
    <n v="-21"/>
    <x v="0"/>
    <x v="4"/>
    <x v="2"/>
    <x v="7"/>
  </r>
  <r>
    <n v="764"/>
    <x v="58"/>
    <x v="0"/>
    <x v="137"/>
    <n v="21"/>
    <x v="0"/>
    <x v="4"/>
    <x v="2"/>
    <x v="7"/>
  </r>
  <r>
    <n v="765"/>
    <x v="58"/>
    <x v="1"/>
    <x v="68"/>
    <n v="-20"/>
    <x v="0"/>
    <x v="4"/>
    <x v="2"/>
    <x v="7"/>
  </r>
  <r>
    <n v="766"/>
    <x v="58"/>
    <x v="0"/>
    <x v="113"/>
    <n v="20"/>
    <x v="0"/>
    <x v="4"/>
    <x v="2"/>
    <x v="7"/>
  </r>
  <r>
    <n v="767"/>
    <x v="58"/>
    <x v="1"/>
    <x v="69"/>
    <n v="-8"/>
    <x v="0"/>
    <x v="4"/>
    <x v="2"/>
    <x v="7"/>
  </r>
  <r>
    <n v="768"/>
    <x v="58"/>
    <x v="0"/>
    <x v="114"/>
    <n v="8"/>
    <x v="0"/>
    <x v="4"/>
    <x v="2"/>
    <x v="7"/>
  </r>
  <r>
    <n v="769"/>
    <x v="58"/>
    <x v="1"/>
    <x v="72"/>
    <n v="-144"/>
    <x v="0"/>
    <x v="4"/>
    <x v="2"/>
    <x v="7"/>
  </r>
  <r>
    <n v="770"/>
    <x v="58"/>
    <x v="0"/>
    <x v="138"/>
    <n v="144"/>
    <x v="0"/>
    <x v="4"/>
    <x v="2"/>
    <x v="7"/>
  </r>
  <r>
    <n v="771"/>
    <x v="58"/>
    <x v="1"/>
    <x v="73"/>
    <n v="-44"/>
    <x v="0"/>
    <x v="4"/>
    <x v="2"/>
    <x v="7"/>
  </r>
  <r>
    <n v="772"/>
    <x v="58"/>
    <x v="0"/>
    <x v="139"/>
    <n v="44"/>
    <x v="0"/>
    <x v="4"/>
    <x v="2"/>
    <x v="7"/>
  </r>
  <r>
    <n v="773"/>
    <x v="58"/>
    <x v="1"/>
    <x v="74"/>
    <n v="-44"/>
    <x v="0"/>
    <x v="4"/>
    <x v="2"/>
    <x v="7"/>
  </r>
  <r>
    <n v="774"/>
    <x v="58"/>
    <x v="0"/>
    <x v="140"/>
    <n v="44"/>
    <x v="0"/>
    <x v="4"/>
    <x v="2"/>
    <x v="7"/>
  </r>
  <r>
    <n v="775"/>
    <x v="58"/>
    <x v="1"/>
    <x v="80"/>
    <n v="-200"/>
    <x v="0"/>
    <x v="4"/>
    <x v="2"/>
    <x v="7"/>
  </r>
  <r>
    <n v="776"/>
    <x v="58"/>
    <x v="0"/>
    <x v="141"/>
    <n v="200"/>
    <x v="0"/>
    <x v="4"/>
    <x v="2"/>
    <x v="7"/>
  </r>
  <r>
    <n v="777"/>
    <x v="58"/>
    <x v="1"/>
    <x v="49"/>
    <n v="-180"/>
    <x v="0"/>
    <x v="4"/>
    <x v="2"/>
    <x v="7"/>
  </r>
  <r>
    <n v="778"/>
    <x v="58"/>
    <x v="0"/>
    <x v="117"/>
    <n v="180"/>
    <x v="0"/>
    <x v="4"/>
    <x v="2"/>
    <x v="7"/>
  </r>
  <r>
    <n v="779"/>
    <x v="58"/>
    <x v="1"/>
    <x v="50"/>
    <n v="-36"/>
    <x v="0"/>
    <x v="4"/>
    <x v="2"/>
    <x v="7"/>
  </r>
  <r>
    <n v="780"/>
    <x v="58"/>
    <x v="0"/>
    <x v="118"/>
    <n v="36"/>
    <x v="0"/>
    <x v="4"/>
    <x v="2"/>
    <x v="7"/>
  </r>
  <r>
    <n v="781"/>
    <x v="58"/>
    <x v="1"/>
    <x v="51"/>
    <n v="-54"/>
    <x v="0"/>
    <x v="4"/>
    <x v="2"/>
    <x v="7"/>
  </r>
  <r>
    <n v="782"/>
    <x v="58"/>
    <x v="0"/>
    <x v="119"/>
    <n v="54"/>
    <x v="0"/>
    <x v="4"/>
    <x v="2"/>
    <x v="7"/>
  </r>
  <r>
    <n v="783"/>
    <x v="58"/>
    <x v="1"/>
    <x v="56"/>
    <n v="-32"/>
    <x v="0"/>
    <x v="4"/>
    <x v="2"/>
    <x v="7"/>
  </r>
  <r>
    <n v="784"/>
    <x v="58"/>
    <x v="0"/>
    <x v="120"/>
    <n v="32"/>
    <x v="0"/>
    <x v="4"/>
    <x v="2"/>
    <x v="7"/>
  </r>
  <r>
    <n v="785"/>
    <x v="58"/>
    <x v="1"/>
    <x v="52"/>
    <n v="-30"/>
    <x v="0"/>
    <x v="4"/>
    <x v="2"/>
    <x v="7"/>
  </r>
  <r>
    <n v="786"/>
    <x v="58"/>
    <x v="0"/>
    <x v="121"/>
    <n v="30"/>
    <x v="0"/>
    <x v="4"/>
    <x v="2"/>
    <x v="7"/>
  </r>
  <r>
    <n v="787"/>
    <x v="58"/>
    <x v="1"/>
    <x v="53"/>
    <n v="-96"/>
    <x v="0"/>
    <x v="4"/>
    <x v="2"/>
    <x v="7"/>
  </r>
  <r>
    <n v="788"/>
    <x v="58"/>
    <x v="0"/>
    <x v="123"/>
    <n v="96"/>
    <x v="0"/>
    <x v="4"/>
    <x v="2"/>
    <x v="7"/>
  </r>
  <r>
    <n v="789"/>
    <x v="58"/>
    <x v="1"/>
    <x v="54"/>
    <n v="-240"/>
    <x v="0"/>
    <x v="4"/>
    <x v="2"/>
    <x v="7"/>
  </r>
  <r>
    <n v="790"/>
    <x v="58"/>
    <x v="0"/>
    <x v="124"/>
    <n v="240"/>
    <x v="0"/>
    <x v="4"/>
    <x v="2"/>
    <x v="7"/>
  </r>
  <r>
    <n v="791"/>
    <x v="58"/>
    <x v="1"/>
    <x v="101"/>
    <n v="-108"/>
    <x v="0"/>
    <x v="4"/>
    <x v="2"/>
    <x v="7"/>
  </r>
  <r>
    <n v="792"/>
    <x v="58"/>
    <x v="0"/>
    <x v="142"/>
    <n v="108"/>
    <x v="0"/>
    <x v="4"/>
    <x v="2"/>
    <x v="7"/>
  </r>
  <r>
    <n v="793"/>
    <x v="59"/>
    <x v="0"/>
    <x v="88"/>
    <n v="84"/>
    <x v="0"/>
    <x v="2"/>
    <x v="0"/>
    <x v="8"/>
  </r>
  <r>
    <n v="794"/>
    <x v="59"/>
    <x v="0"/>
    <x v="61"/>
    <n v="216"/>
    <x v="0"/>
    <x v="2"/>
    <x v="0"/>
    <x v="8"/>
  </r>
  <r>
    <n v="795"/>
    <x v="59"/>
    <x v="0"/>
    <x v="55"/>
    <n v="120"/>
    <x v="0"/>
    <x v="2"/>
    <x v="0"/>
    <x v="8"/>
  </r>
  <r>
    <n v="796"/>
    <x v="59"/>
    <x v="0"/>
    <x v="91"/>
    <n v="12"/>
    <x v="0"/>
    <x v="2"/>
    <x v="0"/>
    <x v="8"/>
  </r>
  <r>
    <n v="797"/>
    <x v="59"/>
    <x v="0"/>
    <x v="92"/>
    <n v="8"/>
    <x v="0"/>
    <x v="2"/>
    <x v="0"/>
    <x v="8"/>
  </r>
  <r>
    <n v="798"/>
    <x v="59"/>
    <x v="0"/>
    <x v="49"/>
    <n v="45"/>
    <x v="0"/>
    <x v="2"/>
    <x v="0"/>
    <x v="8"/>
  </r>
  <r>
    <n v="799"/>
    <x v="59"/>
    <x v="0"/>
    <x v="51"/>
    <n v="135"/>
    <x v="0"/>
    <x v="2"/>
    <x v="0"/>
    <x v="8"/>
  </r>
  <r>
    <n v="800"/>
    <x v="59"/>
    <x v="0"/>
    <x v="53"/>
    <n v="528"/>
    <x v="0"/>
    <x v="2"/>
    <x v="0"/>
    <x v="8"/>
  </r>
  <r>
    <n v="801"/>
    <x v="59"/>
    <x v="0"/>
    <x v="54"/>
    <n v="144"/>
    <x v="0"/>
    <x v="2"/>
    <x v="0"/>
    <x v="8"/>
  </r>
  <r>
    <n v="802"/>
    <x v="59"/>
    <x v="0"/>
    <x v="57"/>
    <n v="192"/>
    <x v="0"/>
    <x v="2"/>
    <x v="0"/>
    <x v="8"/>
  </r>
  <r>
    <n v="803"/>
    <x v="59"/>
    <x v="0"/>
    <x v="58"/>
    <n v="48"/>
    <x v="0"/>
    <x v="2"/>
    <x v="0"/>
    <x v="8"/>
  </r>
  <r>
    <n v="804"/>
    <x v="59"/>
    <x v="0"/>
    <x v="96"/>
    <n v="126"/>
    <x v="0"/>
    <x v="2"/>
    <x v="0"/>
    <x v="8"/>
  </r>
  <r>
    <n v="805"/>
    <x v="59"/>
    <x v="0"/>
    <x v="97"/>
    <n v="18"/>
    <x v="0"/>
    <x v="2"/>
    <x v="0"/>
    <x v="8"/>
  </r>
  <r>
    <n v="806"/>
    <x v="59"/>
    <x v="0"/>
    <x v="59"/>
    <n v="30"/>
    <x v="0"/>
    <x v="2"/>
    <x v="0"/>
    <x v="8"/>
  </r>
  <r>
    <n v="807"/>
    <x v="59"/>
    <x v="0"/>
    <x v="99"/>
    <n v="60"/>
    <x v="0"/>
    <x v="2"/>
    <x v="0"/>
    <x v="8"/>
  </r>
  <r>
    <n v="808"/>
    <x v="59"/>
    <x v="0"/>
    <x v="85"/>
    <n v="36"/>
    <x v="0"/>
    <x v="2"/>
    <x v="0"/>
    <x v="9"/>
  </r>
  <r>
    <n v="809"/>
    <x v="59"/>
    <x v="0"/>
    <x v="76"/>
    <n v="27"/>
    <x v="0"/>
    <x v="2"/>
    <x v="0"/>
    <x v="9"/>
  </r>
  <r>
    <n v="810"/>
    <x v="59"/>
    <x v="0"/>
    <x v="77"/>
    <n v="21"/>
    <x v="0"/>
    <x v="2"/>
    <x v="0"/>
    <x v="9"/>
  </r>
  <r>
    <n v="811"/>
    <x v="59"/>
    <x v="0"/>
    <x v="65"/>
    <n v="20"/>
    <x v="0"/>
    <x v="2"/>
    <x v="0"/>
    <x v="9"/>
  </r>
  <r>
    <n v="812"/>
    <x v="59"/>
    <x v="0"/>
    <x v="66"/>
    <n v="12"/>
    <x v="0"/>
    <x v="2"/>
    <x v="0"/>
    <x v="9"/>
  </r>
  <r>
    <n v="813"/>
    <x v="59"/>
    <x v="0"/>
    <x v="67"/>
    <n v="9"/>
    <x v="0"/>
    <x v="2"/>
    <x v="0"/>
    <x v="9"/>
  </r>
  <r>
    <n v="814"/>
    <x v="59"/>
    <x v="0"/>
    <x v="89"/>
    <n v="33"/>
    <x v="0"/>
    <x v="2"/>
    <x v="0"/>
    <x v="9"/>
  </r>
  <r>
    <n v="815"/>
    <x v="59"/>
    <x v="0"/>
    <x v="75"/>
    <n v="54"/>
    <x v="0"/>
    <x v="2"/>
    <x v="0"/>
    <x v="9"/>
  </r>
  <r>
    <n v="816"/>
    <x v="59"/>
    <x v="0"/>
    <x v="69"/>
    <n v="16"/>
    <x v="0"/>
    <x v="2"/>
    <x v="0"/>
    <x v="9"/>
  </r>
  <r>
    <n v="817"/>
    <x v="59"/>
    <x v="0"/>
    <x v="70"/>
    <n v="64"/>
    <x v="0"/>
    <x v="2"/>
    <x v="0"/>
    <x v="9"/>
  </r>
  <r>
    <n v="818"/>
    <x v="59"/>
    <x v="0"/>
    <x v="72"/>
    <n v="198"/>
    <x v="0"/>
    <x v="2"/>
    <x v="0"/>
    <x v="9"/>
  </r>
  <r>
    <n v="819"/>
    <x v="59"/>
    <x v="0"/>
    <x v="73"/>
    <n v="176"/>
    <x v="0"/>
    <x v="2"/>
    <x v="0"/>
    <x v="9"/>
  </r>
  <r>
    <n v="820"/>
    <x v="59"/>
    <x v="0"/>
    <x v="74"/>
    <n v="44"/>
    <x v="0"/>
    <x v="2"/>
    <x v="0"/>
    <x v="9"/>
  </r>
  <r>
    <n v="821"/>
    <x v="59"/>
    <x v="0"/>
    <x v="78"/>
    <n v="80"/>
    <x v="0"/>
    <x v="2"/>
    <x v="0"/>
    <x v="9"/>
  </r>
  <r>
    <n v="822"/>
    <x v="59"/>
    <x v="0"/>
    <x v="53"/>
    <n v="240"/>
    <x v="0"/>
    <x v="2"/>
    <x v="0"/>
    <x v="9"/>
  </r>
  <r>
    <n v="823"/>
    <x v="59"/>
    <x v="0"/>
    <x v="54"/>
    <n v="384"/>
    <x v="0"/>
    <x v="2"/>
    <x v="0"/>
    <x v="9"/>
  </r>
  <r>
    <n v="824"/>
    <x v="59"/>
    <x v="0"/>
    <x v="81"/>
    <n v="128"/>
    <x v="0"/>
    <x v="2"/>
    <x v="0"/>
    <x v="9"/>
  </r>
  <r>
    <n v="825"/>
    <x v="59"/>
    <x v="0"/>
    <x v="94"/>
    <n v="96"/>
    <x v="0"/>
    <x v="2"/>
    <x v="0"/>
    <x v="9"/>
  </r>
  <r>
    <n v="880"/>
    <x v="60"/>
    <x v="1"/>
    <x v="64"/>
    <n v="-150"/>
    <x v="0"/>
    <x v="4"/>
    <x v="2"/>
    <x v="10"/>
  </r>
  <r>
    <n v="881"/>
    <x v="60"/>
    <x v="0"/>
    <x v="106"/>
    <n v="150"/>
    <x v="0"/>
    <x v="4"/>
    <x v="2"/>
    <x v="10"/>
  </r>
  <r>
    <n v="882"/>
    <x v="60"/>
    <x v="1"/>
    <x v="65"/>
    <n v="-30"/>
    <x v="0"/>
    <x v="4"/>
    <x v="2"/>
    <x v="10"/>
  </r>
  <r>
    <n v="883"/>
    <x v="60"/>
    <x v="0"/>
    <x v="107"/>
    <n v="30"/>
    <x v="0"/>
    <x v="4"/>
    <x v="2"/>
    <x v="10"/>
  </r>
  <r>
    <n v="884"/>
    <x v="60"/>
    <x v="1"/>
    <x v="66"/>
    <n v="-30"/>
    <x v="0"/>
    <x v="4"/>
    <x v="2"/>
    <x v="10"/>
  </r>
  <r>
    <n v="885"/>
    <x v="60"/>
    <x v="0"/>
    <x v="108"/>
    <n v="30"/>
    <x v="0"/>
    <x v="4"/>
    <x v="2"/>
    <x v="10"/>
  </r>
  <r>
    <n v="886"/>
    <x v="60"/>
    <x v="1"/>
    <x v="86"/>
    <n v="-168"/>
    <x v="0"/>
    <x v="4"/>
    <x v="2"/>
    <x v="10"/>
  </r>
  <r>
    <n v="887"/>
    <x v="60"/>
    <x v="0"/>
    <x v="143"/>
    <n v="168"/>
    <x v="0"/>
    <x v="4"/>
    <x v="2"/>
    <x v="10"/>
  </r>
  <r>
    <n v="888"/>
    <x v="60"/>
    <x v="1"/>
    <x v="87"/>
    <n v="-56"/>
    <x v="0"/>
    <x v="4"/>
    <x v="2"/>
    <x v="10"/>
  </r>
  <r>
    <n v="889"/>
    <x v="60"/>
    <x v="0"/>
    <x v="134"/>
    <n v="56"/>
    <x v="0"/>
    <x v="4"/>
    <x v="2"/>
    <x v="10"/>
  </r>
  <r>
    <n v="890"/>
    <x v="60"/>
    <x v="1"/>
    <x v="88"/>
    <n v="-126"/>
    <x v="0"/>
    <x v="4"/>
    <x v="2"/>
    <x v="10"/>
  </r>
  <r>
    <n v="891"/>
    <x v="60"/>
    <x v="0"/>
    <x v="144"/>
    <n v="126"/>
    <x v="0"/>
    <x v="4"/>
    <x v="2"/>
    <x v="10"/>
  </r>
  <r>
    <n v="892"/>
    <x v="60"/>
    <x v="1"/>
    <x v="61"/>
    <n v="-72"/>
    <x v="0"/>
    <x v="4"/>
    <x v="2"/>
    <x v="10"/>
  </r>
  <r>
    <n v="893"/>
    <x v="60"/>
    <x v="0"/>
    <x v="110"/>
    <n v="72"/>
    <x v="0"/>
    <x v="4"/>
    <x v="2"/>
    <x v="10"/>
  </r>
  <r>
    <n v="894"/>
    <x v="60"/>
    <x v="1"/>
    <x v="55"/>
    <n v="-60"/>
    <x v="0"/>
    <x v="4"/>
    <x v="2"/>
    <x v="10"/>
  </r>
  <r>
    <n v="895"/>
    <x v="60"/>
    <x v="0"/>
    <x v="111"/>
    <n v="60"/>
    <x v="0"/>
    <x v="4"/>
    <x v="2"/>
    <x v="10"/>
  </r>
  <r>
    <n v="896"/>
    <x v="60"/>
    <x v="1"/>
    <x v="89"/>
    <n v="-33"/>
    <x v="0"/>
    <x v="4"/>
    <x v="2"/>
    <x v="10"/>
  </r>
  <r>
    <n v="897"/>
    <x v="60"/>
    <x v="0"/>
    <x v="136"/>
    <n v="33"/>
    <x v="0"/>
    <x v="4"/>
    <x v="2"/>
    <x v="10"/>
  </r>
  <r>
    <n v="898"/>
    <x v="60"/>
    <x v="1"/>
    <x v="68"/>
    <n v="-10"/>
    <x v="0"/>
    <x v="4"/>
    <x v="2"/>
    <x v="10"/>
  </r>
  <r>
    <n v="899"/>
    <x v="60"/>
    <x v="0"/>
    <x v="113"/>
    <n v="10"/>
    <x v="0"/>
    <x v="4"/>
    <x v="2"/>
    <x v="10"/>
  </r>
  <r>
    <n v="900"/>
    <x v="60"/>
    <x v="1"/>
    <x v="84"/>
    <n v="-12"/>
    <x v="0"/>
    <x v="4"/>
    <x v="2"/>
    <x v="10"/>
  </r>
  <r>
    <n v="901"/>
    <x v="60"/>
    <x v="0"/>
    <x v="145"/>
    <n v="12"/>
    <x v="0"/>
    <x v="4"/>
    <x v="2"/>
    <x v="10"/>
  </r>
  <r>
    <n v="902"/>
    <x v="60"/>
    <x v="1"/>
    <x v="91"/>
    <n v="-12"/>
    <x v="0"/>
    <x v="4"/>
    <x v="2"/>
    <x v="10"/>
  </r>
  <r>
    <n v="903"/>
    <x v="60"/>
    <x v="0"/>
    <x v="146"/>
    <n v="12"/>
    <x v="0"/>
    <x v="4"/>
    <x v="2"/>
    <x v="10"/>
  </r>
  <r>
    <n v="904"/>
    <x v="60"/>
    <x v="1"/>
    <x v="92"/>
    <n v="-8"/>
    <x v="0"/>
    <x v="4"/>
    <x v="2"/>
    <x v="10"/>
  </r>
  <r>
    <n v="905"/>
    <x v="60"/>
    <x v="0"/>
    <x v="147"/>
    <n v="8"/>
    <x v="0"/>
    <x v="4"/>
    <x v="2"/>
    <x v="10"/>
  </r>
  <r>
    <n v="906"/>
    <x v="60"/>
    <x v="1"/>
    <x v="80"/>
    <n v="-100"/>
    <x v="0"/>
    <x v="4"/>
    <x v="2"/>
    <x v="10"/>
  </r>
  <r>
    <n v="907"/>
    <x v="60"/>
    <x v="0"/>
    <x v="141"/>
    <n v="100"/>
    <x v="0"/>
    <x v="4"/>
    <x v="2"/>
    <x v="10"/>
  </r>
  <r>
    <n v="908"/>
    <x v="60"/>
    <x v="1"/>
    <x v="49"/>
    <n v="-360"/>
    <x v="0"/>
    <x v="4"/>
    <x v="2"/>
    <x v="10"/>
  </r>
  <r>
    <n v="909"/>
    <x v="60"/>
    <x v="0"/>
    <x v="117"/>
    <n v="360"/>
    <x v="0"/>
    <x v="4"/>
    <x v="2"/>
    <x v="10"/>
  </r>
  <r>
    <n v="910"/>
    <x v="60"/>
    <x v="1"/>
    <x v="53"/>
    <n v="-168"/>
    <x v="0"/>
    <x v="4"/>
    <x v="2"/>
    <x v="10"/>
  </r>
  <r>
    <n v="911"/>
    <x v="60"/>
    <x v="0"/>
    <x v="123"/>
    <n v="168"/>
    <x v="0"/>
    <x v="4"/>
    <x v="2"/>
    <x v="10"/>
  </r>
  <r>
    <n v="912"/>
    <x v="60"/>
    <x v="1"/>
    <x v="54"/>
    <n v="-72"/>
    <x v="0"/>
    <x v="4"/>
    <x v="2"/>
    <x v="10"/>
  </r>
  <r>
    <n v="913"/>
    <x v="60"/>
    <x v="0"/>
    <x v="124"/>
    <n v="72"/>
    <x v="0"/>
    <x v="4"/>
    <x v="2"/>
    <x v="10"/>
  </r>
  <r>
    <n v="914"/>
    <x v="60"/>
    <x v="1"/>
    <x v="96"/>
    <n v="-18"/>
    <x v="0"/>
    <x v="4"/>
    <x v="2"/>
    <x v="10"/>
  </r>
  <r>
    <n v="915"/>
    <x v="60"/>
    <x v="0"/>
    <x v="148"/>
    <n v="18"/>
    <x v="0"/>
    <x v="4"/>
    <x v="2"/>
    <x v="10"/>
  </r>
  <r>
    <n v="916"/>
    <x v="60"/>
    <x v="1"/>
    <x v="59"/>
    <n v="-45"/>
    <x v="0"/>
    <x v="4"/>
    <x v="2"/>
    <x v="10"/>
  </r>
  <r>
    <n v="917"/>
    <x v="60"/>
    <x v="0"/>
    <x v="127"/>
    <n v="45"/>
    <x v="0"/>
    <x v="4"/>
    <x v="2"/>
    <x v="10"/>
  </r>
  <r>
    <n v="918"/>
    <x v="60"/>
    <x v="1"/>
    <x v="101"/>
    <n v="-54"/>
    <x v="0"/>
    <x v="4"/>
    <x v="2"/>
    <x v="10"/>
  </r>
  <r>
    <n v="919"/>
    <x v="60"/>
    <x v="0"/>
    <x v="142"/>
    <n v="54"/>
    <x v="0"/>
    <x v="4"/>
    <x v="2"/>
    <x v="10"/>
  </r>
  <r>
    <n v="920"/>
    <x v="60"/>
    <x v="0"/>
    <x v="88"/>
    <n v="168"/>
    <x v="0"/>
    <x v="2"/>
    <x v="0"/>
    <x v="11"/>
  </r>
  <r>
    <n v="921"/>
    <x v="60"/>
    <x v="0"/>
    <x v="61"/>
    <n v="36"/>
    <x v="0"/>
    <x v="2"/>
    <x v="0"/>
    <x v="11"/>
  </r>
  <r>
    <n v="922"/>
    <x v="60"/>
    <x v="0"/>
    <x v="55"/>
    <n v="20"/>
    <x v="0"/>
    <x v="2"/>
    <x v="0"/>
    <x v="11"/>
  </r>
  <r>
    <n v="923"/>
    <x v="60"/>
    <x v="0"/>
    <x v="82"/>
    <n v="32"/>
    <x v="0"/>
    <x v="2"/>
    <x v="0"/>
    <x v="11"/>
  </r>
  <r>
    <n v="924"/>
    <x v="60"/>
    <x v="0"/>
    <x v="83"/>
    <n v="36"/>
    <x v="0"/>
    <x v="2"/>
    <x v="0"/>
    <x v="11"/>
  </r>
  <r>
    <n v="925"/>
    <x v="60"/>
    <x v="0"/>
    <x v="84"/>
    <n v="24"/>
    <x v="0"/>
    <x v="2"/>
    <x v="0"/>
    <x v="11"/>
  </r>
  <r>
    <n v="926"/>
    <x v="60"/>
    <x v="0"/>
    <x v="49"/>
    <n v="630"/>
    <x v="0"/>
    <x v="2"/>
    <x v="0"/>
    <x v="11"/>
  </r>
  <r>
    <n v="927"/>
    <x v="60"/>
    <x v="0"/>
    <x v="51"/>
    <n v="27"/>
    <x v="0"/>
    <x v="2"/>
    <x v="0"/>
    <x v="11"/>
  </r>
  <r>
    <n v="928"/>
    <x v="60"/>
    <x v="0"/>
    <x v="93"/>
    <n v="256"/>
    <x v="0"/>
    <x v="2"/>
    <x v="0"/>
    <x v="11"/>
  </r>
  <r>
    <n v="929"/>
    <x v="60"/>
    <x v="0"/>
    <x v="57"/>
    <n v="448"/>
    <x v="0"/>
    <x v="2"/>
    <x v="0"/>
    <x v="11"/>
  </r>
  <r>
    <n v="930"/>
    <x v="60"/>
    <x v="0"/>
    <x v="95"/>
    <n v="144"/>
    <x v="0"/>
    <x v="2"/>
    <x v="0"/>
    <x v="11"/>
  </r>
  <r>
    <n v="931"/>
    <x v="60"/>
    <x v="0"/>
    <x v="97"/>
    <n v="90"/>
    <x v="0"/>
    <x v="2"/>
    <x v="0"/>
    <x v="11"/>
  </r>
  <r>
    <n v="932"/>
    <x v="60"/>
    <x v="0"/>
    <x v="59"/>
    <n v="90"/>
    <x v="0"/>
    <x v="2"/>
    <x v="0"/>
    <x v="11"/>
  </r>
  <r>
    <n v="933"/>
    <x v="60"/>
    <x v="0"/>
    <x v="99"/>
    <n v="90"/>
    <x v="0"/>
    <x v="2"/>
    <x v="0"/>
    <x v="11"/>
  </r>
  <r>
    <n v="934"/>
    <x v="60"/>
    <x v="0"/>
    <x v="149"/>
    <n v="2000"/>
    <x v="0"/>
    <x v="2"/>
    <x v="0"/>
    <x v="11"/>
  </r>
  <r>
    <n v="935"/>
    <x v="61"/>
    <x v="0"/>
    <x v="85"/>
    <n v="36"/>
    <x v="0"/>
    <x v="2"/>
    <x v="0"/>
    <x v="12"/>
  </r>
  <r>
    <n v="936"/>
    <x v="61"/>
    <x v="0"/>
    <x v="64"/>
    <n v="30"/>
    <x v="0"/>
    <x v="2"/>
    <x v="0"/>
    <x v="12"/>
  </r>
  <r>
    <n v="937"/>
    <x v="61"/>
    <x v="0"/>
    <x v="65"/>
    <n v="10"/>
    <x v="0"/>
    <x v="2"/>
    <x v="0"/>
    <x v="12"/>
  </r>
  <r>
    <n v="938"/>
    <x v="61"/>
    <x v="0"/>
    <x v="67"/>
    <n v="10"/>
    <x v="0"/>
    <x v="2"/>
    <x v="0"/>
    <x v="12"/>
  </r>
  <r>
    <n v="939"/>
    <x v="61"/>
    <x v="0"/>
    <x v="86"/>
    <n v="42"/>
    <x v="0"/>
    <x v="2"/>
    <x v="0"/>
    <x v="12"/>
  </r>
  <r>
    <n v="940"/>
    <x v="61"/>
    <x v="0"/>
    <x v="60"/>
    <n v="49"/>
    <x v="0"/>
    <x v="2"/>
    <x v="0"/>
    <x v="12"/>
  </r>
  <r>
    <n v="941"/>
    <x v="61"/>
    <x v="0"/>
    <x v="61"/>
    <n v="34"/>
    <x v="0"/>
    <x v="2"/>
    <x v="0"/>
    <x v="12"/>
  </r>
  <r>
    <n v="942"/>
    <x v="61"/>
    <x v="0"/>
    <x v="55"/>
    <n v="-10"/>
    <x v="0"/>
    <x v="2"/>
    <x v="0"/>
    <x v="12"/>
  </r>
  <r>
    <n v="943"/>
    <x v="61"/>
    <x v="0"/>
    <x v="62"/>
    <n v="42"/>
    <x v="0"/>
    <x v="2"/>
    <x v="0"/>
    <x v="12"/>
  </r>
  <r>
    <n v="944"/>
    <x v="61"/>
    <x v="0"/>
    <x v="89"/>
    <n v="66"/>
    <x v="0"/>
    <x v="2"/>
    <x v="0"/>
    <x v="12"/>
  </r>
  <r>
    <n v="945"/>
    <x v="61"/>
    <x v="0"/>
    <x v="68"/>
    <n v="30"/>
    <x v="0"/>
    <x v="2"/>
    <x v="0"/>
    <x v="12"/>
  </r>
  <r>
    <n v="946"/>
    <x v="61"/>
    <x v="0"/>
    <x v="69"/>
    <n v="13"/>
    <x v="0"/>
    <x v="2"/>
    <x v="0"/>
    <x v="12"/>
  </r>
  <r>
    <n v="947"/>
    <x v="61"/>
    <x v="0"/>
    <x v="70"/>
    <n v="23"/>
    <x v="0"/>
    <x v="2"/>
    <x v="0"/>
    <x v="12"/>
  </r>
  <r>
    <n v="948"/>
    <x v="61"/>
    <x v="0"/>
    <x v="71"/>
    <n v="14"/>
    <x v="0"/>
    <x v="2"/>
    <x v="0"/>
    <x v="12"/>
  </r>
  <r>
    <n v="949"/>
    <x v="61"/>
    <x v="0"/>
    <x v="72"/>
    <n v="120"/>
    <x v="0"/>
    <x v="2"/>
    <x v="0"/>
    <x v="12"/>
  </r>
  <r>
    <n v="950"/>
    <x v="61"/>
    <x v="0"/>
    <x v="73"/>
    <n v="67"/>
    <x v="0"/>
    <x v="2"/>
    <x v="0"/>
    <x v="12"/>
  </r>
  <r>
    <n v="951"/>
    <x v="61"/>
    <x v="0"/>
    <x v="74"/>
    <n v="18"/>
    <x v="0"/>
    <x v="2"/>
    <x v="0"/>
    <x v="12"/>
  </r>
  <r>
    <n v="952"/>
    <x v="61"/>
    <x v="0"/>
    <x v="105"/>
    <n v="2"/>
    <x v="0"/>
    <x v="2"/>
    <x v="0"/>
    <x v="12"/>
  </r>
  <r>
    <n v="953"/>
    <x v="61"/>
    <x v="0"/>
    <x v="91"/>
    <n v="4"/>
    <x v="0"/>
    <x v="2"/>
    <x v="0"/>
    <x v="12"/>
  </r>
  <r>
    <n v="954"/>
    <x v="61"/>
    <x v="0"/>
    <x v="78"/>
    <n v="40"/>
    <x v="0"/>
    <x v="2"/>
    <x v="0"/>
    <x v="12"/>
  </r>
  <r>
    <n v="955"/>
    <x v="61"/>
    <x v="0"/>
    <x v="79"/>
    <n v="30"/>
    <x v="0"/>
    <x v="2"/>
    <x v="0"/>
    <x v="12"/>
  </r>
  <r>
    <n v="956"/>
    <x v="61"/>
    <x v="0"/>
    <x v="80"/>
    <n v="-440"/>
    <x v="0"/>
    <x v="2"/>
    <x v="0"/>
    <x v="12"/>
  </r>
  <r>
    <n v="957"/>
    <x v="61"/>
    <x v="0"/>
    <x v="49"/>
    <n v="45"/>
    <x v="0"/>
    <x v="2"/>
    <x v="0"/>
    <x v="12"/>
  </r>
  <r>
    <n v="958"/>
    <x v="61"/>
    <x v="0"/>
    <x v="56"/>
    <n v="-160"/>
    <x v="0"/>
    <x v="2"/>
    <x v="0"/>
    <x v="12"/>
  </r>
  <r>
    <n v="959"/>
    <x v="61"/>
    <x v="0"/>
    <x v="52"/>
    <n v="60"/>
    <x v="0"/>
    <x v="2"/>
    <x v="0"/>
    <x v="12"/>
  </r>
  <r>
    <n v="960"/>
    <x v="61"/>
    <x v="0"/>
    <x v="63"/>
    <n v="160"/>
    <x v="0"/>
    <x v="2"/>
    <x v="0"/>
    <x v="12"/>
  </r>
  <r>
    <n v="961"/>
    <x v="61"/>
    <x v="0"/>
    <x v="53"/>
    <n v="72"/>
    <x v="0"/>
    <x v="2"/>
    <x v="0"/>
    <x v="12"/>
  </r>
  <r>
    <n v="962"/>
    <x v="61"/>
    <x v="0"/>
    <x v="54"/>
    <n v="120"/>
    <x v="0"/>
    <x v="2"/>
    <x v="0"/>
    <x v="12"/>
  </r>
  <r>
    <n v="963"/>
    <x v="61"/>
    <x v="0"/>
    <x v="57"/>
    <n v="128"/>
    <x v="0"/>
    <x v="2"/>
    <x v="0"/>
    <x v="12"/>
  </r>
  <r>
    <n v="964"/>
    <x v="61"/>
    <x v="0"/>
    <x v="58"/>
    <n v="96"/>
    <x v="0"/>
    <x v="2"/>
    <x v="0"/>
    <x v="12"/>
  </r>
  <r>
    <n v="965"/>
    <x v="61"/>
    <x v="0"/>
    <x v="96"/>
    <n v="18"/>
    <x v="0"/>
    <x v="2"/>
    <x v="0"/>
    <x v="12"/>
  </r>
  <r>
    <n v="966"/>
    <x v="61"/>
    <x v="0"/>
    <x v="97"/>
    <n v="-13"/>
    <x v="0"/>
    <x v="2"/>
    <x v="0"/>
    <x v="12"/>
  </r>
  <r>
    <n v="967"/>
    <x v="61"/>
    <x v="0"/>
    <x v="98"/>
    <n v="13"/>
    <x v="0"/>
    <x v="2"/>
    <x v="0"/>
    <x v="12"/>
  </r>
  <r>
    <n v="968"/>
    <x v="61"/>
    <x v="0"/>
    <x v="59"/>
    <n v="35"/>
    <x v="0"/>
    <x v="2"/>
    <x v="0"/>
    <x v="12"/>
  </r>
  <r>
    <n v="969"/>
    <x v="61"/>
    <x v="0"/>
    <x v="101"/>
    <n v="54"/>
    <x v="0"/>
    <x v="2"/>
    <x v="0"/>
    <x v="12"/>
  </r>
  <r>
    <n v="970"/>
    <x v="61"/>
    <x v="0"/>
    <x v="150"/>
    <n v="72"/>
    <x v="0"/>
    <x v="2"/>
    <x v="0"/>
    <x v="12"/>
  </r>
  <r>
    <n v="971"/>
    <x v="61"/>
    <x v="0"/>
    <x v="149"/>
    <n v="-120"/>
    <x v="0"/>
    <x v="2"/>
    <x v="0"/>
    <x v="12"/>
  </r>
  <r>
    <n v="972"/>
    <x v="62"/>
    <x v="0"/>
    <x v="85"/>
    <n v="108"/>
    <x v="0"/>
    <x v="2"/>
    <x v="0"/>
    <x v="13"/>
  </r>
  <r>
    <n v="973"/>
    <x v="62"/>
    <x v="0"/>
    <x v="76"/>
    <n v="108"/>
    <x v="0"/>
    <x v="2"/>
    <x v="0"/>
    <x v="14"/>
  </r>
  <r>
    <n v="974"/>
    <x v="62"/>
    <x v="0"/>
    <x v="77"/>
    <n v="84"/>
    <x v="0"/>
    <x v="2"/>
    <x v="0"/>
    <x v="14"/>
  </r>
  <r>
    <n v="975"/>
    <x v="62"/>
    <x v="0"/>
    <x v="65"/>
    <n v="40"/>
    <x v="0"/>
    <x v="2"/>
    <x v="0"/>
    <x v="13"/>
  </r>
  <r>
    <n v="976"/>
    <x v="62"/>
    <x v="0"/>
    <x v="66"/>
    <n v="48"/>
    <x v="0"/>
    <x v="2"/>
    <x v="0"/>
    <x v="14"/>
  </r>
  <r>
    <n v="977"/>
    <x v="62"/>
    <x v="0"/>
    <x v="67"/>
    <n v="9"/>
    <x v="0"/>
    <x v="2"/>
    <x v="0"/>
    <x v="13"/>
  </r>
  <r>
    <n v="978"/>
    <x v="62"/>
    <x v="0"/>
    <x v="89"/>
    <n v="99"/>
    <x v="0"/>
    <x v="2"/>
    <x v="0"/>
    <x v="13"/>
  </r>
  <r>
    <n v="979"/>
    <x v="62"/>
    <x v="0"/>
    <x v="75"/>
    <n v="162"/>
    <x v="0"/>
    <x v="2"/>
    <x v="0"/>
    <x v="14"/>
  </r>
  <r>
    <n v="980"/>
    <x v="62"/>
    <x v="0"/>
    <x v="68"/>
    <n v="110"/>
    <x v="0"/>
    <x v="2"/>
    <x v="0"/>
    <x v="13"/>
  </r>
  <r>
    <n v="981"/>
    <x v="62"/>
    <x v="0"/>
    <x v="69"/>
    <n v="24"/>
    <x v="0"/>
    <x v="2"/>
    <x v="0"/>
    <x v="13"/>
  </r>
  <r>
    <n v="982"/>
    <x v="62"/>
    <x v="0"/>
    <x v="70"/>
    <n v="32"/>
    <x v="0"/>
    <x v="2"/>
    <x v="0"/>
    <x v="14"/>
  </r>
  <r>
    <n v="983"/>
    <x v="62"/>
    <x v="0"/>
    <x v="71"/>
    <n v="12"/>
    <x v="0"/>
    <x v="2"/>
    <x v="0"/>
    <x v="14"/>
  </r>
  <r>
    <n v="984"/>
    <x v="62"/>
    <x v="0"/>
    <x v="105"/>
    <n v="20"/>
    <x v="0"/>
    <x v="2"/>
    <x v="0"/>
    <x v="14"/>
  </r>
  <r>
    <n v="985"/>
    <x v="62"/>
    <x v="0"/>
    <x v="78"/>
    <n v="200"/>
    <x v="0"/>
    <x v="2"/>
    <x v="0"/>
    <x v="13"/>
  </r>
  <r>
    <n v="986"/>
    <x v="62"/>
    <x v="0"/>
    <x v="79"/>
    <n v="90"/>
    <x v="0"/>
    <x v="2"/>
    <x v="0"/>
    <x v="14"/>
  </r>
  <r>
    <n v="987"/>
    <x v="62"/>
    <x v="0"/>
    <x v="53"/>
    <n v="96"/>
    <x v="0"/>
    <x v="2"/>
    <x v="0"/>
    <x v="14"/>
  </r>
  <r>
    <n v="988"/>
    <x v="62"/>
    <x v="0"/>
    <x v="81"/>
    <n v="256"/>
    <x v="0"/>
    <x v="2"/>
    <x v="0"/>
    <x v="13"/>
  </r>
  <r>
    <n v="989"/>
    <x v="62"/>
    <x v="0"/>
    <x v="94"/>
    <n v="192"/>
    <x v="0"/>
    <x v="2"/>
    <x v="0"/>
    <x v="13"/>
  </r>
  <r>
    <n v="990"/>
    <x v="63"/>
    <x v="0"/>
    <x v="85"/>
    <n v="108"/>
    <x v="0"/>
    <x v="2"/>
    <x v="0"/>
    <x v="15"/>
  </r>
  <r>
    <n v="991"/>
    <x v="63"/>
    <x v="0"/>
    <x v="77"/>
    <n v="84"/>
    <x v="0"/>
    <x v="2"/>
    <x v="0"/>
    <x v="15"/>
  </r>
  <r>
    <n v="992"/>
    <x v="63"/>
    <x v="0"/>
    <x v="64"/>
    <n v="50"/>
    <x v="0"/>
    <x v="2"/>
    <x v="0"/>
    <x v="15"/>
  </r>
  <r>
    <n v="993"/>
    <x v="63"/>
    <x v="0"/>
    <x v="65"/>
    <n v="50"/>
    <x v="0"/>
    <x v="2"/>
    <x v="0"/>
    <x v="15"/>
  </r>
  <r>
    <n v="994"/>
    <x v="63"/>
    <x v="0"/>
    <x v="66"/>
    <n v="30"/>
    <x v="0"/>
    <x v="2"/>
    <x v="0"/>
    <x v="15"/>
  </r>
  <r>
    <n v="995"/>
    <x v="63"/>
    <x v="0"/>
    <x v="75"/>
    <n v="27"/>
    <x v="0"/>
    <x v="2"/>
    <x v="0"/>
    <x v="15"/>
  </r>
  <r>
    <n v="996"/>
    <x v="63"/>
    <x v="0"/>
    <x v="69"/>
    <n v="16"/>
    <x v="0"/>
    <x v="2"/>
    <x v="0"/>
    <x v="15"/>
  </r>
  <r>
    <n v="997"/>
    <x v="63"/>
    <x v="0"/>
    <x v="70"/>
    <n v="32"/>
    <x v="0"/>
    <x v="2"/>
    <x v="0"/>
    <x v="15"/>
  </r>
  <r>
    <n v="998"/>
    <x v="63"/>
    <x v="0"/>
    <x v="71"/>
    <n v="8"/>
    <x v="0"/>
    <x v="2"/>
    <x v="0"/>
    <x v="15"/>
  </r>
  <r>
    <n v="999"/>
    <x v="63"/>
    <x v="0"/>
    <x v="103"/>
    <n v="4"/>
    <x v="0"/>
    <x v="2"/>
    <x v="0"/>
    <x v="15"/>
  </r>
  <r>
    <n v="1000"/>
    <x v="63"/>
    <x v="0"/>
    <x v="78"/>
    <n v="40"/>
    <x v="0"/>
    <x v="2"/>
    <x v="0"/>
    <x v="15"/>
  </r>
  <r>
    <n v="1001"/>
    <x v="63"/>
    <x v="0"/>
    <x v="79"/>
    <n v="30"/>
    <x v="0"/>
    <x v="2"/>
    <x v="0"/>
    <x v="15"/>
  </r>
  <r>
    <n v="1002"/>
    <x v="63"/>
    <x v="0"/>
    <x v="81"/>
    <n v="64"/>
    <x v="0"/>
    <x v="2"/>
    <x v="0"/>
    <x v="15"/>
  </r>
  <r>
    <n v="1003"/>
    <x v="63"/>
    <x v="0"/>
    <x v="94"/>
    <n v="48"/>
    <x v="0"/>
    <x v="2"/>
    <x v="0"/>
    <x v="15"/>
  </r>
  <r>
    <n v="1004"/>
    <x v="63"/>
    <x v="0"/>
    <x v="76"/>
    <n v="27"/>
    <x v="0"/>
    <x v="2"/>
    <x v="0"/>
    <x v="16"/>
  </r>
  <r>
    <n v="1005"/>
    <x v="63"/>
    <x v="0"/>
    <x v="65"/>
    <n v="160"/>
    <x v="0"/>
    <x v="2"/>
    <x v="0"/>
    <x v="16"/>
  </r>
  <r>
    <n v="1006"/>
    <x v="63"/>
    <x v="0"/>
    <x v="67"/>
    <n v="9"/>
    <x v="0"/>
    <x v="2"/>
    <x v="0"/>
    <x v="16"/>
  </r>
  <r>
    <n v="1007"/>
    <x v="63"/>
    <x v="0"/>
    <x v="89"/>
    <n v="66"/>
    <x v="0"/>
    <x v="2"/>
    <x v="0"/>
    <x v="16"/>
  </r>
  <r>
    <n v="1008"/>
    <x v="63"/>
    <x v="0"/>
    <x v="68"/>
    <n v="100"/>
    <x v="0"/>
    <x v="2"/>
    <x v="0"/>
    <x v="16"/>
  </r>
  <r>
    <n v="1009"/>
    <x v="63"/>
    <x v="0"/>
    <x v="70"/>
    <n v="8"/>
    <x v="0"/>
    <x v="2"/>
    <x v="0"/>
    <x v="16"/>
  </r>
  <r>
    <n v="1010"/>
    <x v="63"/>
    <x v="0"/>
    <x v="73"/>
    <n v="132"/>
    <x v="0"/>
    <x v="2"/>
    <x v="0"/>
    <x v="16"/>
  </r>
  <r>
    <n v="1011"/>
    <x v="63"/>
    <x v="0"/>
    <x v="74"/>
    <n v="88"/>
    <x v="0"/>
    <x v="2"/>
    <x v="0"/>
    <x v="16"/>
  </r>
  <r>
    <n v="1012"/>
    <x v="63"/>
    <x v="0"/>
    <x v="104"/>
    <n v="40"/>
    <x v="0"/>
    <x v="2"/>
    <x v="0"/>
    <x v="16"/>
  </r>
  <r>
    <n v="1013"/>
    <x v="63"/>
    <x v="0"/>
    <x v="90"/>
    <n v="21"/>
    <x v="0"/>
    <x v="2"/>
    <x v="0"/>
    <x v="17"/>
  </r>
  <r>
    <n v="1014"/>
    <x v="63"/>
    <x v="0"/>
    <x v="81"/>
    <n v="128"/>
    <x v="0"/>
    <x v="2"/>
    <x v="0"/>
    <x v="17"/>
  </r>
  <r>
    <n v="1015"/>
    <x v="63"/>
    <x v="0"/>
    <x v="94"/>
    <n v="192"/>
    <x v="0"/>
    <x v="2"/>
    <x v="0"/>
    <x v="17"/>
  </r>
  <r>
    <n v="1016"/>
    <x v="63"/>
    <x v="0"/>
    <x v="58"/>
    <n v="144"/>
    <x v="0"/>
    <x v="2"/>
    <x v="0"/>
    <x v="17"/>
  </r>
  <r>
    <n v="1017"/>
    <x v="63"/>
    <x v="0"/>
    <x v="96"/>
    <n v="18"/>
    <x v="0"/>
    <x v="2"/>
    <x v="0"/>
    <x v="17"/>
  </r>
  <r>
    <n v="1018"/>
    <x v="63"/>
    <x v="0"/>
    <x v="59"/>
    <n v="45"/>
    <x v="0"/>
    <x v="2"/>
    <x v="0"/>
    <x v="17"/>
  </r>
  <r>
    <n v="1019"/>
    <x v="63"/>
    <x v="0"/>
    <x v="151"/>
    <n v="200"/>
    <x v="0"/>
    <x v="2"/>
    <x v="0"/>
    <x v="17"/>
  </r>
  <r>
    <n v="1020"/>
    <x v="63"/>
    <x v="0"/>
    <x v="60"/>
    <n v="42"/>
    <x v="0"/>
    <x v="2"/>
    <x v="0"/>
    <x v="18"/>
  </r>
  <r>
    <n v="1021"/>
    <x v="63"/>
    <x v="0"/>
    <x v="55"/>
    <n v="120"/>
    <x v="0"/>
    <x v="2"/>
    <x v="0"/>
    <x v="18"/>
  </r>
  <r>
    <n v="1022"/>
    <x v="63"/>
    <x v="0"/>
    <x v="91"/>
    <n v="24"/>
    <x v="0"/>
    <x v="2"/>
    <x v="0"/>
    <x v="18"/>
  </r>
  <r>
    <n v="1023"/>
    <x v="63"/>
    <x v="0"/>
    <x v="49"/>
    <n v="315"/>
    <x v="0"/>
    <x v="2"/>
    <x v="0"/>
    <x v="18"/>
  </r>
  <r>
    <n v="1024"/>
    <x v="63"/>
    <x v="0"/>
    <x v="56"/>
    <n v="128"/>
    <x v="0"/>
    <x v="2"/>
    <x v="0"/>
    <x v="18"/>
  </r>
  <r>
    <n v="1025"/>
    <x v="63"/>
    <x v="0"/>
    <x v="54"/>
    <n v="96"/>
    <x v="0"/>
    <x v="2"/>
    <x v="0"/>
    <x v="18"/>
  </r>
  <r>
    <n v="1026"/>
    <x v="63"/>
    <x v="0"/>
    <x v="59"/>
    <n v="45"/>
    <x v="0"/>
    <x v="2"/>
    <x v="0"/>
    <x v="18"/>
  </r>
  <r>
    <n v="1027"/>
    <x v="63"/>
    <x v="0"/>
    <x v="99"/>
    <n v="30"/>
    <x v="0"/>
    <x v="2"/>
    <x v="0"/>
    <x v="18"/>
  </r>
  <r>
    <n v="1028"/>
    <x v="63"/>
    <x v="0"/>
    <x v="87"/>
    <n v="168"/>
    <x v="0"/>
    <x v="2"/>
    <x v="0"/>
    <x v="19"/>
  </r>
  <r>
    <n v="1029"/>
    <x v="63"/>
    <x v="0"/>
    <x v="60"/>
    <n v="84"/>
    <x v="0"/>
    <x v="2"/>
    <x v="0"/>
    <x v="19"/>
  </r>
  <r>
    <n v="1030"/>
    <x v="63"/>
    <x v="0"/>
    <x v="88"/>
    <n v="84"/>
    <x v="0"/>
    <x v="2"/>
    <x v="0"/>
    <x v="19"/>
  </r>
  <r>
    <n v="1031"/>
    <x v="63"/>
    <x v="0"/>
    <x v="61"/>
    <n v="72"/>
    <x v="0"/>
    <x v="2"/>
    <x v="0"/>
    <x v="19"/>
  </r>
  <r>
    <n v="1032"/>
    <x v="63"/>
    <x v="0"/>
    <x v="62"/>
    <n v="16"/>
    <x v="0"/>
    <x v="2"/>
    <x v="0"/>
    <x v="19"/>
  </r>
  <r>
    <n v="1033"/>
    <x v="64"/>
    <x v="0"/>
    <x v="90"/>
    <n v="168"/>
    <x v="0"/>
    <x v="2"/>
    <x v="0"/>
    <x v="20"/>
  </r>
  <r>
    <n v="1034"/>
    <x v="64"/>
    <x v="0"/>
    <x v="82"/>
    <n v="16"/>
    <x v="0"/>
    <x v="2"/>
    <x v="0"/>
    <x v="20"/>
  </r>
  <r>
    <n v="1035"/>
    <x v="64"/>
    <x v="0"/>
    <x v="57"/>
    <n v="256"/>
    <x v="0"/>
    <x v="2"/>
    <x v="0"/>
    <x v="20"/>
  </r>
  <r>
    <n v="1036"/>
    <x v="64"/>
    <x v="0"/>
    <x v="95"/>
    <n v="144"/>
    <x v="0"/>
    <x v="2"/>
    <x v="0"/>
    <x v="20"/>
  </r>
  <r>
    <n v="1037"/>
    <x v="64"/>
    <x v="0"/>
    <x v="58"/>
    <n v="144"/>
    <x v="0"/>
    <x v="2"/>
    <x v="0"/>
    <x v="20"/>
  </r>
  <r>
    <n v="1038"/>
    <x v="64"/>
    <x v="0"/>
    <x v="96"/>
    <n v="180"/>
    <x v="0"/>
    <x v="2"/>
    <x v="0"/>
    <x v="20"/>
  </r>
  <r>
    <n v="1039"/>
    <x v="64"/>
    <x v="0"/>
    <x v="97"/>
    <n v="54"/>
    <x v="0"/>
    <x v="2"/>
    <x v="0"/>
    <x v="20"/>
  </r>
  <r>
    <n v="1040"/>
    <x v="64"/>
    <x v="0"/>
    <x v="59"/>
    <n v="210"/>
    <x v="0"/>
    <x v="2"/>
    <x v="0"/>
    <x v="20"/>
  </r>
  <r>
    <n v="1041"/>
    <x v="64"/>
    <x v="0"/>
    <x v="152"/>
    <n v="18"/>
    <x v="0"/>
    <x v="2"/>
    <x v="0"/>
    <x v="20"/>
  </r>
  <r>
    <n v="1042"/>
    <x v="64"/>
    <x v="0"/>
    <x v="99"/>
    <n v="30"/>
    <x v="0"/>
    <x v="2"/>
    <x v="0"/>
    <x v="20"/>
  </r>
  <r>
    <n v="1043"/>
    <x v="64"/>
    <x v="0"/>
    <x v="150"/>
    <n v="120"/>
    <x v="0"/>
    <x v="2"/>
    <x v="0"/>
    <x v="20"/>
  </r>
  <r>
    <n v="1044"/>
    <x v="64"/>
    <x v="0"/>
    <x v="153"/>
    <n v="120"/>
    <x v="0"/>
    <x v="2"/>
    <x v="0"/>
    <x v="20"/>
  </r>
  <r>
    <n v="1045"/>
    <x v="64"/>
    <x v="0"/>
    <x v="154"/>
    <n v="48"/>
    <x v="0"/>
    <x v="2"/>
    <x v="0"/>
    <x v="20"/>
  </r>
  <r>
    <n v="1046"/>
    <x v="64"/>
    <x v="0"/>
    <x v="149"/>
    <n v="2000"/>
    <x v="0"/>
    <x v="2"/>
    <x v="0"/>
    <x v="20"/>
  </r>
  <r>
    <n v="1047"/>
    <x v="64"/>
    <x v="0"/>
    <x v="85"/>
    <n v="72"/>
    <x v="0"/>
    <x v="2"/>
    <x v="0"/>
    <x v="21"/>
  </r>
  <r>
    <n v="1048"/>
    <x v="64"/>
    <x v="0"/>
    <x v="76"/>
    <n v="108"/>
    <x v="0"/>
    <x v="2"/>
    <x v="0"/>
    <x v="21"/>
  </r>
  <r>
    <n v="1049"/>
    <x v="64"/>
    <x v="0"/>
    <x v="77"/>
    <n v="84"/>
    <x v="0"/>
    <x v="2"/>
    <x v="0"/>
    <x v="21"/>
  </r>
  <r>
    <n v="1050"/>
    <x v="64"/>
    <x v="0"/>
    <x v="64"/>
    <n v="80"/>
    <x v="0"/>
    <x v="2"/>
    <x v="0"/>
    <x v="21"/>
  </r>
  <r>
    <n v="1051"/>
    <x v="64"/>
    <x v="0"/>
    <x v="65"/>
    <n v="30"/>
    <x v="0"/>
    <x v="2"/>
    <x v="0"/>
    <x v="21"/>
  </r>
  <r>
    <n v="1052"/>
    <x v="64"/>
    <x v="0"/>
    <x v="66"/>
    <n v="9"/>
    <x v="0"/>
    <x v="2"/>
    <x v="0"/>
    <x v="21"/>
  </r>
  <r>
    <n v="1053"/>
    <x v="64"/>
    <x v="0"/>
    <x v="89"/>
    <n v="66"/>
    <x v="0"/>
    <x v="2"/>
    <x v="0"/>
    <x v="21"/>
  </r>
  <r>
    <n v="1054"/>
    <x v="64"/>
    <x v="0"/>
    <x v="75"/>
    <n v="54"/>
    <x v="0"/>
    <x v="2"/>
    <x v="0"/>
    <x v="21"/>
  </r>
  <r>
    <n v="1055"/>
    <x v="64"/>
    <x v="0"/>
    <x v="68"/>
    <n v="20"/>
    <x v="0"/>
    <x v="2"/>
    <x v="0"/>
    <x v="21"/>
  </r>
  <r>
    <n v="1056"/>
    <x v="64"/>
    <x v="0"/>
    <x v="69"/>
    <n v="8"/>
    <x v="0"/>
    <x v="2"/>
    <x v="0"/>
    <x v="21"/>
  </r>
  <r>
    <n v="1057"/>
    <x v="64"/>
    <x v="0"/>
    <x v="71"/>
    <n v="16"/>
    <x v="0"/>
    <x v="2"/>
    <x v="0"/>
    <x v="21"/>
  </r>
  <r>
    <n v="1058"/>
    <x v="64"/>
    <x v="0"/>
    <x v="72"/>
    <n v="99"/>
    <x v="0"/>
    <x v="2"/>
    <x v="0"/>
    <x v="21"/>
  </r>
  <r>
    <n v="1059"/>
    <x v="64"/>
    <x v="0"/>
    <x v="73"/>
    <n v="44"/>
    <x v="0"/>
    <x v="2"/>
    <x v="0"/>
    <x v="21"/>
  </r>
  <r>
    <n v="1060"/>
    <x v="64"/>
    <x v="0"/>
    <x v="74"/>
    <n v="88"/>
    <x v="0"/>
    <x v="2"/>
    <x v="0"/>
    <x v="21"/>
  </r>
  <r>
    <n v="1061"/>
    <x v="64"/>
    <x v="0"/>
    <x v="103"/>
    <n v="45"/>
    <x v="0"/>
    <x v="2"/>
    <x v="0"/>
    <x v="21"/>
  </r>
  <r>
    <n v="1062"/>
    <x v="64"/>
    <x v="0"/>
    <x v="104"/>
    <n v="20"/>
    <x v="0"/>
    <x v="2"/>
    <x v="0"/>
    <x v="21"/>
  </r>
  <r>
    <n v="1063"/>
    <x v="64"/>
    <x v="0"/>
    <x v="105"/>
    <n v="20"/>
    <x v="0"/>
    <x v="2"/>
    <x v="0"/>
    <x v="21"/>
  </r>
  <r>
    <n v="1064"/>
    <x v="64"/>
    <x v="0"/>
    <x v="78"/>
    <n v="160"/>
    <x v="0"/>
    <x v="2"/>
    <x v="0"/>
    <x v="21"/>
  </r>
  <r>
    <n v="1065"/>
    <x v="64"/>
    <x v="0"/>
    <x v="79"/>
    <n v="30"/>
    <x v="0"/>
    <x v="2"/>
    <x v="0"/>
    <x v="21"/>
  </r>
  <r>
    <n v="1066"/>
    <x v="64"/>
    <x v="0"/>
    <x v="53"/>
    <n v="528"/>
    <x v="0"/>
    <x v="2"/>
    <x v="0"/>
    <x v="21"/>
  </r>
  <r>
    <n v="1067"/>
    <x v="64"/>
    <x v="0"/>
    <x v="54"/>
    <n v="48"/>
    <x v="0"/>
    <x v="2"/>
    <x v="0"/>
    <x v="21"/>
  </r>
  <r>
    <n v="1068"/>
    <x v="64"/>
    <x v="0"/>
    <x v="81"/>
    <n v="64"/>
    <x v="0"/>
    <x v="2"/>
    <x v="0"/>
    <x v="21"/>
  </r>
  <r>
    <n v="1069"/>
    <x v="64"/>
    <x v="0"/>
    <x v="94"/>
    <n v="96"/>
    <x v="0"/>
    <x v="2"/>
    <x v="0"/>
    <x v="21"/>
  </r>
  <r>
    <n v="1070"/>
    <x v="65"/>
    <x v="1"/>
    <x v="76"/>
    <n v="-54"/>
    <x v="0"/>
    <x v="4"/>
    <x v="2"/>
    <x v="22"/>
  </r>
  <r>
    <n v="1071"/>
    <x v="65"/>
    <x v="0"/>
    <x v="132"/>
    <n v="54"/>
    <x v="0"/>
    <x v="4"/>
    <x v="2"/>
    <x v="22"/>
  </r>
  <r>
    <n v="1072"/>
    <x v="65"/>
    <x v="1"/>
    <x v="64"/>
    <n v="-30"/>
    <x v="0"/>
    <x v="4"/>
    <x v="2"/>
    <x v="22"/>
  </r>
  <r>
    <n v="1073"/>
    <x v="65"/>
    <x v="0"/>
    <x v="106"/>
    <n v="30"/>
    <x v="0"/>
    <x v="4"/>
    <x v="2"/>
    <x v="22"/>
  </r>
  <r>
    <n v="1074"/>
    <x v="65"/>
    <x v="1"/>
    <x v="65"/>
    <n v="-20"/>
    <x v="0"/>
    <x v="4"/>
    <x v="2"/>
    <x v="22"/>
  </r>
  <r>
    <n v="1075"/>
    <x v="65"/>
    <x v="0"/>
    <x v="107"/>
    <n v="20"/>
    <x v="0"/>
    <x v="4"/>
    <x v="2"/>
    <x v="22"/>
  </r>
  <r>
    <n v="1076"/>
    <x v="65"/>
    <x v="1"/>
    <x v="87"/>
    <n v="-56"/>
    <x v="0"/>
    <x v="4"/>
    <x v="2"/>
    <x v="22"/>
  </r>
  <r>
    <n v="1077"/>
    <x v="65"/>
    <x v="0"/>
    <x v="134"/>
    <n v="56"/>
    <x v="0"/>
    <x v="4"/>
    <x v="2"/>
    <x v="22"/>
  </r>
  <r>
    <n v="1078"/>
    <x v="65"/>
    <x v="1"/>
    <x v="60"/>
    <n v="-84"/>
    <x v="0"/>
    <x v="4"/>
    <x v="2"/>
    <x v="22"/>
  </r>
  <r>
    <n v="1079"/>
    <x v="65"/>
    <x v="0"/>
    <x v="135"/>
    <n v="84"/>
    <x v="0"/>
    <x v="4"/>
    <x v="2"/>
    <x v="22"/>
  </r>
  <r>
    <n v="1080"/>
    <x v="65"/>
    <x v="1"/>
    <x v="88"/>
    <n v="-42"/>
    <x v="0"/>
    <x v="4"/>
    <x v="2"/>
    <x v="22"/>
  </r>
  <r>
    <n v="1081"/>
    <x v="65"/>
    <x v="0"/>
    <x v="144"/>
    <n v="42"/>
    <x v="0"/>
    <x v="4"/>
    <x v="2"/>
    <x v="22"/>
  </r>
  <r>
    <n v="1082"/>
    <x v="65"/>
    <x v="1"/>
    <x v="61"/>
    <n v="-36"/>
    <x v="0"/>
    <x v="4"/>
    <x v="2"/>
    <x v="22"/>
  </r>
  <r>
    <n v="1083"/>
    <x v="65"/>
    <x v="0"/>
    <x v="110"/>
    <n v="36"/>
    <x v="0"/>
    <x v="4"/>
    <x v="2"/>
    <x v="22"/>
  </r>
  <r>
    <n v="1084"/>
    <x v="65"/>
    <x v="1"/>
    <x v="62"/>
    <n v="-48"/>
    <x v="0"/>
    <x v="4"/>
    <x v="2"/>
    <x v="22"/>
  </r>
  <r>
    <n v="1085"/>
    <x v="65"/>
    <x v="0"/>
    <x v="112"/>
    <n v="48"/>
    <x v="0"/>
    <x v="4"/>
    <x v="2"/>
    <x v="22"/>
  </r>
  <r>
    <n v="1086"/>
    <x v="65"/>
    <x v="1"/>
    <x v="89"/>
    <n v="-66"/>
    <x v="0"/>
    <x v="4"/>
    <x v="2"/>
    <x v="22"/>
  </r>
  <r>
    <n v="1087"/>
    <x v="65"/>
    <x v="0"/>
    <x v="136"/>
    <n v="66"/>
    <x v="0"/>
    <x v="4"/>
    <x v="2"/>
    <x v="22"/>
  </r>
  <r>
    <n v="1088"/>
    <x v="65"/>
    <x v="1"/>
    <x v="75"/>
    <n v="-27"/>
    <x v="0"/>
    <x v="4"/>
    <x v="2"/>
    <x v="22"/>
  </r>
  <r>
    <n v="1089"/>
    <x v="65"/>
    <x v="0"/>
    <x v="155"/>
    <n v="27"/>
    <x v="0"/>
    <x v="4"/>
    <x v="2"/>
    <x v="22"/>
  </r>
  <r>
    <n v="1090"/>
    <x v="65"/>
    <x v="1"/>
    <x v="90"/>
    <n v="-42"/>
    <x v="0"/>
    <x v="4"/>
    <x v="2"/>
    <x v="22"/>
  </r>
  <r>
    <n v="1091"/>
    <x v="65"/>
    <x v="0"/>
    <x v="137"/>
    <n v="42"/>
    <x v="0"/>
    <x v="4"/>
    <x v="2"/>
    <x v="22"/>
  </r>
  <r>
    <n v="1092"/>
    <x v="65"/>
    <x v="1"/>
    <x v="69"/>
    <n v="-8"/>
    <x v="0"/>
    <x v="4"/>
    <x v="2"/>
    <x v="22"/>
  </r>
  <r>
    <n v="1093"/>
    <x v="65"/>
    <x v="0"/>
    <x v="114"/>
    <n v="8"/>
    <x v="0"/>
    <x v="4"/>
    <x v="2"/>
    <x v="22"/>
  </r>
  <r>
    <n v="1094"/>
    <x v="65"/>
    <x v="1"/>
    <x v="70"/>
    <n v="-8"/>
    <x v="0"/>
    <x v="4"/>
    <x v="2"/>
    <x v="22"/>
  </r>
  <r>
    <n v="1095"/>
    <x v="65"/>
    <x v="0"/>
    <x v="115"/>
    <n v="8"/>
    <x v="0"/>
    <x v="4"/>
    <x v="2"/>
    <x v="22"/>
  </r>
  <r>
    <n v="1096"/>
    <x v="65"/>
    <x v="1"/>
    <x v="72"/>
    <n v="-198"/>
    <x v="0"/>
    <x v="4"/>
    <x v="2"/>
    <x v="22"/>
  </r>
  <r>
    <n v="1097"/>
    <x v="65"/>
    <x v="0"/>
    <x v="138"/>
    <n v="198"/>
    <x v="0"/>
    <x v="4"/>
    <x v="2"/>
    <x v="22"/>
  </r>
  <r>
    <n v="1098"/>
    <x v="65"/>
    <x v="1"/>
    <x v="73"/>
    <n v="-88"/>
    <x v="0"/>
    <x v="4"/>
    <x v="2"/>
    <x v="22"/>
  </r>
  <r>
    <n v="1099"/>
    <x v="65"/>
    <x v="0"/>
    <x v="139"/>
    <n v="88"/>
    <x v="0"/>
    <x v="4"/>
    <x v="2"/>
    <x v="22"/>
  </r>
  <r>
    <n v="1100"/>
    <x v="65"/>
    <x v="1"/>
    <x v="74"/>
    <n v="-88"/>
    <x v="0"/>
    <x v="4"/>
    <x v="2"/>
    <x v="22"/>
  </r>
  <r>
    <n v="1101"/>
    <x v="65"/>
    <x v="0"/>
    <x v="140"/>
    <n v="88"/>
    <x v="0"/>
    <x v="4"/>
    <x v="2"/>
    <x v="22"/>
  </r>
  <r>
    <n v="1102"/>
    <x v="65"/>
    <x v="1"/>
    <x v="104"/>
    <n v="-20"/>
    <x v="0"/>
    <x v="4"/>
    <x v="2"/>
    <x v="22"/>
  </r>
  <r>
    <n v="1103"/>
    <x v="65"/>
    <x v="0"/>
    <x v="156"/>
    <n v="20"/>
    <x v="0"/>
    <x v="4"/>
    <x v="2"/>
    <x v="22"/>
  </r>
  <r>
    <n v="1104"/>
    <x v="65"/>
    <x v="1"/>
    <x v="105"/>
    <n v="-20"/>
    <x v="0"/>
    <x v="4"/>
    <x v="2"/>
    <x v="22"/>
  </r>
  <r>
    <n v="1105"/>
    <x v="65"/>
    <x v="0"/>
    <x v="157"/>
    <n v="20"/>
    <x v="0"/>
    <x v="4"/>
    <x v="2"/>
    <x v="22"/>
  </r>
  <r>
    <n v="1106"/>
    <x v="65"/>
    <x v="1"/>
    <x v="91"/>
    <n v="-12"/>
    <x v="0"/>
    <x v="4"/>
    <x v="2"/>
    <x v="22"/>
  </r>
  <r>
    <n v="1107"/>
    <x v="65"/>
    <x v="0"/>
    <x v="146"/>
    <n v="12"/>
    <x v="0"/>
    <x v="4"/>
    <x v="2"/>
    <x v="22"/>
  </r>
  <r>
    <n v="1108"/>
    <x v="65"/>
    <x v="1"/>
    <x v="78"/>
    <n v="-160"/>
    <x v="0"/>
    <x v="4"/>
    <x v="2"/>
    <x v="22"/>
  </r>
  <r>
    <n v="1109"/>
    <x v="65"/>
    <x v="0"/>
    <x v="158"/>
    <n v="160"/>
    <x v="0"/>
    <x v="4"/>
    <x v="2"/>
    <x v="22"/>
  </r>
  <r>
    <n v="1110"/>
    <x v="65"/>
    <x v="1"/>
    <x v="79"/>
    <n v="-30"/>
    <x v="0"/>
    <x v="4"/>
    <x v="2"/>
    <x v="22"/>
  </r>
  <r>
    <n v="1111"/>
    <x v="65"/>
    <x v="0"/>
    <x v="159"/>
    <n v="30"/>
    <x v="0"/>
    <x v="4"/>
    <x v="2"/>
    <x v="22"/>
  </r>
  <r>
    <n v="1112"/>
    <x v="65"/>
    <x v="1"/>
    <x v="49"/>
    <n v="-90"/>
    <x v="0"/>
    <x v="4"/>
    <x v="2"/>
    <x v="22"/>
  </r>
  <r>
    <n v="1113"/>
    <x v="65"/>
    <x v="0"/>
    <x v="117"/>
    <n v="90"/>
    <x v="0"/>
    <x v="4"/>
    <x v="2"/>
    <x v="22"/>
  </r>
  <r>
    <n v="1114"/>
    <x v="65"/>
    <x v="1"/>
    <x v="51"/>
    <n v="-54"/>
    <x v="0"/>
    <x v="4"/>
    <x v="2"/>
    <x v="22"/>
  </r>
  <r>
    <n v="1115"/>
    <x v="65"/>
    <x v="0"/>
    <x v="119"/>
    <n v="54"/>
    <x v="0"/>
    <x v="4"/>
    <x v="2"/>
    <x v="22"/>
  </r>
  <r>
    <n v="1116"/>
    <x v="65"/>
    <x v="1"/>
    <x v="56"/>
    <n v="-32"/>
    <x v="0"/>
    <x v="4"/>
    <x v="2"/>
    <x v="22"/>
  </r>
  <r>
    <n v="1117"/>
    <x v="65"/>
    <x v="0"/>
    <x v="120"/>
    <n v="32"/>
    <x v="0"/>
    <x v="4"/>
    <x v="2"/>
    <x v="22"/>
  </r>
  <r>
    <n v="1118"/>
    <x v="65"/>
    <x v="1"/>
    <x v="93"/>
    <n v="-128"/>
    <x v="0"/>
    <x v="4"/>
    <x v="2"/>
    <x v="22"/>
  </r>
  <r>
    <n v="1119"/>
    <x v="65"/>
    <x v="0"/>
    <x v="160"/>
    <n v="128"/>
    <x v="0"/>
    <x v="4"/>
    <x v="2"/>
    <x v="22"/>
  </r>
  <r>
    <n v="1120"/>
    <x v="65"/>
    <x v="1"/>
    <x v="81"/>
    <n v="-256"/>
    <x v="0"/>
    <x v="4"/>
    <x v="2"/>
    <x v="22"/>
  </r>
  <r>
    <n v="1121"/>
    <x v="65"/>
    <x v="0"/>
    <x v="161"/>
    <n v="256"/>
    <x v="0"/>
    <x v="4"/>
    <x v="2"/>
    <x v="22"/>
  </r>
  <r>
    <n v="1122"/>
    <x v="65"/>
    <x v="1"/>
    <x v="94"/>
    <n v="-96"/>
    <x v="0"/>
    <x v="4"/>
    <x v="2"/>
    <x v="22"/>
  </r>
  <r>
    <n v="1123"/>
    <x v="65"/>
    <x v="0"/>
    <x v="162"/>
    <n v="96"/>
    <x v="0"/>
    <x v="4"/>
    <x v="2"/>
    <x v="22"/>
  </r>
  <r>
    <n v="1124"/>
    <x v="65"/>
    <x v="1"/>
    <x v="57"/>
    <n v="-128"/>
    <x v="0"/>
    <x v="4"/>
    <x v="2"/>
    <x v="22"/>
  </r>
  <r>
    <n v="1125"/>
    <x v="65"/>
    <x v="0"/>
    <x v="125"/>
    <n v="128"/>
    <x v="0"/>
    <x v="4"/>
    <x v="2"/>
    <x v="22"/>
  </r>
  <r>
    <n v="1126"/>
    <x v="65"/>
    <x v="1"/>
    <x v="95"/>
    <n v="-96"/>
    <x v="0"/>
    <x v="4"/>
    <x v="2"/>
    <x v="22"/>
  </r>
  <r>
    <n v="1127"/>
    <x v="65"/>
    <x v="0"/>
    <x v="163"/>
    <n v="96"/>
    <x v="0"/>
    <x v="4"/>
    <x v="2"/>
    <x v="22"/>
  </r>
  <r>
    <n v="1128"/>
    <x v="65"/>
    <x v="1"/>
    <x v="96"/>
    <n v="-54"/>
    <x v="0"/>
    <x v="4"/>
    <x v="2"/>
    <x v="22"/>
  </r>
  <r>
    <n v="1129"/>
    <x v="65"/>
    <x v="0"/>
    <x v="148"/>
    <n v="54"/>
    <x v="0"/>
    <x v="4"/>
    <x v="2"/>
    <x v="22"/>
  </r>
  <r>
    <n v="1130"/>
    <x v="65"/>
    <x v="1"/>
    <x v="97"/>
    <n v="-18"/>
    <x v="0"/>
    <x v="4"/>
    <x v="2"/>
    <x v="22"/>
  </r>
  <r>
    <n v="1131"/>
    <x v="65"/>
    <x v="0"/>
    <x v="164"/>
    <n v="18"/>
    <x v="0"/>
    <x v="4"/>
    <x v="2"/>
    <x v="22"/>
  </r>
  <r>
    <n v="1132"/>
    <x v="65"/>
    <x v="1"/>
    <x v="59"/>
    <n v="-30"/>
    <x v="0"/>
    <x v="4"/>
    <x v="2"/>
    <x v="22"/>
  </r>
  <r>
    <n v="1133"/>
    <x v="65"/>
    <x v="0"/>
    <x v="127"/>
    <n v="30"/>
    <x v="0"/>
    <x v="4"/>
    <x v="2"/>
    <x v="22"/>
  </r>
  <r>
    <n v="1134"/>
    <x v="65"/>
    <x v="1"/>
    <x v="99"/>
    <n v="-30"/>
    <x v="0"/>
    <x v="4"/>
    <x v="2"/>
    <x v="22"/>
  </r>
  <r>
    <n v="1135"/>
    <x v="65"/>
    <x v="0"/>
    <x v="165"/>
    <n v="30"/>
    <x v="0"/>
    <x v="4"/>
    <x v="2"/>
    <x v="22"/>
  </r>
  <r>
    <n v="1136"/>
    <x v="65"/>
    <x v="1"/>
    <x v="150"/>
    <n v="-24"/>
    <x v="0"/>
    <x v="4"/>
    <x v="2"/>
    <x v="22"/>
  </r>
  <r>
    <n v="1137"/>
    <x v="65"/>
    <x v="0"/>
    <x v="166"/>
    <n v="24"/>
    <x v="0"/>
    <x v="4"/>
    <x v="2"/>
    <x v="22"/>
  </r>
  <r>
    <n v="1138"/>
    <x v="65"/>
    <x v="1"/>
    <x v="153"/>
    <n v="-24"/>
    <x v="0"/>
    <x v="4"/>
    <x v="2"/>
    <x v="22"/>
  </r>
  <r>
    <n v="1139"/>
    <x v="65"/>
    <x v="0"/>
    <x v="167"/>
    <n v="24"/>
    <x v="0"/>
    <x v="4"/>
    <x v="2"/>
    <x v="22"/>
  </r>
  <r>
    <n v="1140"/>
    <x v="65"/>
    <x v="0"/>
    <x v="75"/>
    <n v="54"/>
    <x v="0"/>
    <x v="2"/>
    <x v="0"/>
    <x v="23"/>
  </r>
  <r>
    <n v="1141"/>
    <x v="65"/>
    <x v="0"/>
    <x v="70"/>
    <n v="32"/>
    <x v="0"/>
    <x v="2"/>
    <x v="0"/>
    <x v="23"/>
  </r>
  <r>
    <n v="1142"/>
    <x v="65"/>
    <x v="0"/>
    <x v="71"/>
    <n v="8"/>
    <x v="0"/>
    <x v="2"/>
    <x v="0"/>
    <x v="23"/>
  </r>
  <r>
    <n v="1143"/>
    <x v="65"/>
    <x v="0"/>
    <x v="79"/>
    <n v="30"/>
    <x v="0"/>
    <x v="2"/>
    <x v="0"/>
    <x v="23"/>
  </r>
  <r>
    <n v="1144"/>
    <x v="65"/>
    <x v="0"/>
    <x v="81"/>
    <n v="64"/>
    <x v="0"/>
    <x v="2"/>
    <x v="0"/>
    <x v="23"/>
  </r>
  <r>
    <n v="1145"/>
    <x v="65"/>
    <x v="0"/>
    <x v="94"/>
    <n v="48"/>
    <x v="0"/>
    <x v="2"/>
    <x v="0"/>
    <x v="23"/>
  </r>
  <r>
    <n v="1146"/>
    <x v="65"/>
    <x v="0"/>
    <x v="80"/>
    <n v="400"/>
    <x v="0"/>
    <x v="2"/>
    <x v="0"/>
    <x v="23"/>
  </r>
  <r>
    <n v="1147"/>
    <x v="66"/>
    <x v="0"/>
    <x v="76"/>
    <n v="54"/>
    <x v="0"/>
    <x v="2"/>
    <x v="0"/>
    <x v="24"/>
  </r>
  <r>
    <n v="1148"/>
    <x v="66"/>
    <x v="0"/>
    <x v="89"/>
    <n v="66"/>
    <x v="0"/>
    <x v="2"/>
    <x v="0"/>
    <x v="24"/>
  </r>
  <r>
    <n v="1149"/>
    <x v="66"/>
    <x v="0"/>
    <x v="75"/>
    <n v="27"/>
    <x v="0"/>
    <x v="2"/>
    <x v="0"/>
    <x v="24"/>
  </r>
  <r>
    <n v="1150"/>
    <x v="66"/>
    <x v="0"/>
    <x v="68"/>
    <n v="40"/>
    <x v="0"/>
    <x v="2"/>
    <x v="0"/>
    <x v="24"/>
  </r>
  <r>
    <n v="1151"/>
    <x v="66"/>
    <x v="0"/>
    <x v="69"/>
    <n v="24"/>
    <x v="0"/>
    <x v="2"/>
    <x v="0"/>
    <x v="24"/>
  </r>
  <r>
    <n v="1152"/>
    <x v="66"/>
    <x v="0"/>
    <x v="71"/>
    <n v="16"/>
    <x v="0"/>
    <x v="2"/>
    <x v="0"/>
    <x v="24"/>
  </r>
  <r>
    <n v="1153"/>
    <x v="66"/>
    <x v="0"/>
    <x v="78"/>
    <n v="160"/>
    <x v="0"/>
    <x v="2"/>
    <x v="0"/>
    <x v="24"/>
  </r>
  <r>
    <n v="1154"/>
    <x v="66"/>
    <x v="0"/>
    <x v="79"/>
    <n v="30"/>
    <x v="0"/>
    <x v="2"/>
    <x v="0"/>
    <x v="24"/>
  </r>
  <r>
    <n v="1155"/>
    <x v="66"/>
    <x v="0"/>
    <x v="52"/>
    <n v="30"/>
    <x v="0"/>
    <x v="2"/>
    <x v="0"/>
    <x v="24"/>
  </r>
  <r>
    <n v="1156"/>
    <x v="66"/>
    <x v="0"/>
    <x v="93"/>
    <n v="128"/>
    <x v="0"/>
    <x v="2"/>
    <x v="0"/>
    <x v="24"/>
  </r>
  <r>
    <n v="1157"/>
    <x v="66"/>
    <x v="0"/>
    <x v="81"/>
    <n v="128"/>
    <x v="0"/>
    <x v="2"/>
    <x v="0"/>
    <x v="24"/>
  </r>
  <r>
    <n v="1158"/>
    <x v="66"/>
    <x v="0"/>
    <x v="94"/>
    <n v="192"/>
    <x v="0"/>
    <x v="2"/>
    <x v="0"/>
    <x v="24"/>
  </r>
  <r>
    <n v="1159"/>
    <x v="66"/>
    <x v="0"/>
    <x v="89"/>
    <n v="66"/>
    <x v="0"/>
    <x v="2"/>
    <x v="0"/>
    <x v="25"/>
  </r>
  <r>
    <n v="1160"/>
    <x v="66"/>
    <x v="0"/>
    <x v="75"/>
    <n v="27"/>
    <x v="0"/>
    <x v="2"/>
    <x v="0"/>
    <x v="25"/>
  </r>
  <r>
    <n v="1161"/>
    <x v="66"/>
    <x v="0"/>
    <x v="57"/>
    <n v="128"/>
    <x v="0"/>
    <x v="2"/>
    <x v="0"/>
    <x v="25"/>
  </r>
  <r>
    <n v="1162"/>
    <x v="66"/>
    <x v="0"/>
    <x v="95"/>
    <n v="144"/>
    <x v="0"/>
    <x v="2"/>
    <x v="0"/>
    <x v="25"/>
  </r>
  <r>
    <n v="1163"/>
    <x v="66"/>
    <x v="0"/>
    <x v="96"/>
    <n v="126"/>
    <x v="0"/>
    <x v="2"/>
    <x v="0"/>
    <x v="25"/>
  </r>
  <r>
    <n v="1164"/>
    <x v="66"/>
    <x v="0"/>
    <x v="59"/>
    <n v="270"/>
    <x v="0"/>
    <x v="2"/>
    <x v="0"/>
    <x v="25"/>
  </r>
  <r>
    <n v="1165"/>
    <x v="66"/>
    <x v="0"/>
    <x v="152"/>
    <n v="36"/>
    <x v="0"/>
    <x v="2"/>
    <x v="0"/>
    <x v="25"/>
  </r>
  <r>
    <n v="1166"/>
    <x v="66"/>
    <x v="0"/>
    <x v="150"/>
    <n v="168"/>
    <x v="0"/>
    <x v="2"/>
    <x v="0"/>
    <x v="25"/>
  </r>
  <r>
    <n v="1167"/>
    <x v="66"/>
    <x v="0"/>
    <x v="90"/>
    <n v="42"/>
    <x v="0"/>
    <x v="2"/>
    <x v="0"/>
    <x v="26"/>
  </r>
  <r>
    <n v="1168"/>
    <x v="66"/>
    <x v="0"/>
    <x v="82"/>
    <n v="16"/>
    <x v="0"/>
    <x v="2"/>
    <x v="0"/>
    <x v="26"/>
  </r>
  <r>
    <n v="1169"/>
    <x v="66"/>
    <x v="0"/>
    <x v="80"/>
    <n v="5000"/>
    <x v="0"/>
    <x v="2"/>
    <x v="0"/>
    <x v="26"/>
  </r>
  <r>
    <n v="1170"/>
    <x v="66"/>
    <x v="0"/>
    <x v="58"/>
    <n v="240"/>
    <x v="0"/>
    <x v="2"/>
    <x v="0"/>
    <x v="26"/>
  </r>
  <r>
    <n v="1171"/>
    <x v="66"/>
    <x v="0"/>
    <x v="97"/>
    <n v="90"/>
    <x v="0"/>
    <x v="2"/>
    <x v="0"/>
    <x v="26"/>
  </r>
  <r>
    <n v="1172"/>
    <x v="66"/>
    <x v="0"/>
    <x v="98"/>
    <n v="18"/>
    <x v="0"/>
    <x v="2"/>
    <x v="0"/>
    <x v="26"/>
  </r>
  <r>
    <n v="1173"/>
    <x v="66"/>
    <x v="0"/>
    <x v="99"/>
    <n v="30"/>
    <x v="0"/>
    <x v="2"/>
    <x v="0"/>
    <x v="26"/>
  </r>
  <r>
    <n v="1174"/>
    <x v="66"/>
    <x v="0"/>
    <x v="100"/>
    <n v="36"/>
    <x v="0"/>
    <x v="2"/>
    <x v="0"/>
    <x v="26"/>
  </r>
  <r>
    <n v="1175"/>
    <x v="66"/>
    <x v="0"/>
    <x v="101"/>
    <n v="216"/>
    <x v="0"/>
    <x v="2"/>
    <x v="0"/>
    <x v="26"/>
  </r>
  <r>
    <n v="1176"/>
    <x v="66"/>
    <x v="0"/>
    <x v="153"/>
    <n v="204"/>
    <x v="0"/>
    <x v="2"/>
    <x v="0"/>
    <x v="26"/>
  </r>
  <r>
    <n v="1177"/>
    <x v="67"/>
    <x v="0"/>
    <x v="90"/>
    <n v="21"/>
    <x v="0"/>
    <x v="2"/>
    <x v="0"/>
    <x v="27"/>
  </r>
  <r>
    <n v="1178"/>
    <x v="67"/>
    <x v="0"/>
    <x v="168"/>
    <n v="48"/>
    <x v="0"/>
    <x v="2"/>
    <x v="0"/>
    <x v="27"/>
  </r>
  <r>
    <n v="1179"/>
    <x v="67"/>
    <x v="0"/>
    <x v="94"/>
    <n v="240"/>
    <x v="0"/>
    <x v="2"/>
    <x v="0"/>
    <x v="27"/>
  </r>
  <r>
    <n v="1180"/>
    <x v="67"/>
    <x v="0"/>
    <x v="57"/>
    <n v="64"/>
    <x v="0"/>
    <x v="2"/>
    <x v="0"/>
    <x v="27"/>
  </r>
  <r>
    <n v="1181"/>
    <x v="67"/>
    <x v="0"/>
    <x v="58"/>
    <n v="192"/>
    <x v="0"/>
    <x v="2"/>
    <x v="0"/>
    <x v="27"/>
  </r>
  <r>
    <n v="1182"/>
    <x v="67"/>
    <x v="0"/>
    <x v="96"/>
    <n v="36"/>
    <x v="0"/>
    <x v="2"/>
    <x v="0"/>
    <x v="27"/>
  </r>
  <r>
    <n v="1183"/>
    <x v="67"/>
    <x v="0"/>
    <x v="97"/>
    <n v="108"/>
    <x v="0"/>
    <x v="2"/>
    <x v="0"/>
    <x v="27"/>
  </r>
  <r>
    <n v="1184"/>
    <x v="67"/>
    <x v="0"/>
    <x v="59"/>
    <n v="75"/>
    <x v="0"/>
    <x v="2"/>
    <x v="0"/>
    <x v="27"/>
  </r>
  <r>
    <n v="1185"/>
    <x v="67"/>
    <x v="0"/>
    <x v="152"/>
    <n v="108"/>
    <x v="0"/>
    <x v="2"/>
    <x v="0"/>
    <x v="27"/>
  </r>
  <r>
    <n v="1186"/>
    <x v="67"/>
    <x v="0"/>
    <x v="99"/>
    <n v="30"/>
    <x v="0"/>
    <x v="2"/>
    <x v="0"/>
    <x v="27"/>
  </r>
  <r>
    <n v="1187"/>
    <x v="67"/>
    <x v="0"/>
    <x v="101"/>
    <n v="162"/>
    <x v="0"/>
    <x v="2"/>
    <x v="0"/>
    <x v="27"/>
  </r>
  <r>
    <n v="1188"/>
    <x v="67"/>
    <x v="0"/>
    <x v="149"/>
    <n v="2000"/>
    <x v="0"/>
    <x v="2"/>
    <x v="0"/>
    <x v="27"/>
  </r>
  <r>
    <n v="1190"/>
    <x v="67"/>
    <x v="0"/>
    <x v="89"/>
    <n v="66"/>
    <x v="0"/>
    <x v="2"/>
    <x v="0"/>
    <x v="28"/>
  </r>
  <r>
    <n v="1191"/>
    <x v="67"/>
    <x v="0"/>
    <x v="75"/>
    <n v="27"/>
    <x v="0"/>
    <x v="2"/>
    <x v="0"/>
    <x v="28"/>
  </r>
  <r>
    <n v="1192"/>
    <x v="67"/>
    <x v="0"/>
    <x v="68"/>
    <n v="50"/>
    <x v="0"/>
    <x v="2"/>
    <x v="0"/>
    <x v="28"/>
  </r>
  <r>
    <n v="1193"/>
    <x v="67"/>
    <x v="0"/>
    <x v="69"/>
    <n v="16"/>
    <x v="0"/>
    <x v="2"/>
    <x v="0"/>
    <x v="28"/>
  </r>
  <r>
    <n v="1194"/>
    <x v="67"/>
    <x v="0"/>
    <x v="70"/>
    <n v="24"/>
    <x v="0"/>
    <x v="2"/>
    <x v="0"/>
    <x v="28"/>
  </r>
  <r>
    <n v="1195"/>
    <x v="67"/>
    <x v="0"/>
    <x v="71"/>
    <n v="8"/>
    <x v="0"/>
    <x v="2"/>
    <x v="0"/>
    <x v="28"/>
  </r>
  <r>
    <n v="1196"/>
    <x v="67"/>
    <x v="0"/>
    <x v="78"/>
    <n v="40"/>
    <x v="0"/>
    <x v="2"/>
    <x v="0"/>
    <x v="28"/>
  </r>
  <r>
    <n v="1197"/>
    <x v="67"/>
    <x v="0"/>
    <x v="79"/>
    <n v="30"/>
    <x v="0"/>
    <x v="2"/>
    <x v="0"/>
    <x v="28"/>
  </r>
  <r>
    <n v="1198"/>
    <x v="67"/>
    <x v="0"/>
    <x v="52"/>
    <n v="30"/>
    <x v="0"/>
    <x v="2"/>
    <x v="0"/>
    <x v="28"/>
  </r>
  <r>
    <n v="1199"/>
    <x v="67"/>
    <x v="0"/>
    <x v="53"/>
    <n v="96"/>
    <x v="0"/>
    <x v="2"/>
    <x v="0"/>
    <x v="28"/>
  </r>
  <r>
    <n v="1200"/>
    <x v="67"/>
    <x v="0"/>
    <x v="93"/>
    <n v="128"/>
    <x v="0"/>
    <x v="2"/>
    <x v="0"/>
    <x v="28"/>
  </r>
  <r>
    <n v="1201"/>
    <x v="67"/>
    <x v="0"/>
    <x v="81"/>
    <n v="320"/>
    <x v="0"/>
    <x v="2"/>
    <x v="0"/>
    <x v="28"/>
  </r>
  <r>
    <n v="1202"/>
    <x v="67"/>
    <x v="0"/>
    <x v="94"/>
    <n v="96"/>
    <x v="0"/>
    <x v="2"/>
    <x v="0"/>
    <x v="28"/>
  </r>
  <r>
    <n v="1203"/>
    <x v="68"/>
    <x v="0"/>
    <x v="81"/>
    <n v="256"/>
    <x v="0"/>
    <x v="2"/>
    <x v="0"/>
    <x v="29"/>
  </r>
  <r>
    <n v="1204"/>
    <x v="68"/>
    <x v="0"/>
    <x v="94"/>
    <n v="288"/>
    <x v="0"/>
    <x v="2"/>
    <x v="0"/>
    <x v="29"/>
  </r>
  <r>
    <n v="1205"/>
    <x v="68"/>
    <x v="0"/>
    <x v="57"/>
    <n v="192"/>
    <x v="0"/>
    <x v="2"/>
    <x v="0"/>
    <x v="29"/>
  </r>
  <r>
    <n v="1206"/>
    <x v="68"/>
    <x v="0"/>
    <x v="95"/>
    <n v="96"/>
    <x v="0"/>
    <x v="2"/>
    <x v="0"/>
    <x v="29"/>
  </r>
  <r>
    <n v="1207"/>
    <x v="68"/>
    <x v="0"/>
    <x v="58"/>
    <n v="192"/>
    <x v="0"/>
    <x v="2"/>
    <x v="0"/>
    <x v="29"/>
  </r>
  <r>
    <n v="1208"/>
    <x v="68"/>
    <x v="0"/>
    <x v="96"/>
    <n v="126"/>
    <x v="0"/>
    <x v="2"/>
    <x v="0"/>
    <x v="29"/>
  </r>
  <r>
    <n v="1209"/>
    <x v="68"/>
    <x v="0"/>
    <x v="97"/>
    <n v="54"/>
    <x v="0"/>
    <x v="2"/>
    <x v="0"/>
    <x v="29"/>
  </r>
  <r>
    <n v="1210"/>
    <x v="68"/>
    <x v="0"/>
    <x v="98"/>
    <n v="18"/>
    <x v="0"/>
    <x v="2"/>
    <x v="0"/>
    <x v="29"/>
  </r>
  <r>
    <n v="1211"/>
    <x v="68"/>
    <x v="0"/>
    <x v="59"/>
    <n v="90"/>
    <x v="0"/>
    <x v="2"/>
    <x v="0"/>
    <x v="29"/>
  </r>
  <r>
    <n v="1212"/>
    <x v="68"/>
    <x v="0"/>
    <x v="81"/>
    <n v="256"/>
    <x v="0"/>
    <x v="2"/>
    <x v="0"/>
    <x v="30"/>
  </r>
  <r>
    <n v="1213"/>
    <x v="68"/>
    <x v="0"/>
    <x v="94"/>
    <n v="288"/>
    <x v="0"/>
    <x v="2"/>
    <x v="0"/>
    <x v="30"/>
  </r>
  <r>
    <n v="1214"/>
    <x v="68"/>
    <x v="0"/>
    <x v="57"/>
    <n v="192"/>
    <x v="0"/>
    <x v="2"/>
    <x v="0"/>
    <x v="30"/>
  </r>
  <r>
    <n v="1215"/>
    <x v="68"/>
    <x v="0"/>
    <x v="95"/>
    <n v="96"/>
    <x v="0"/>
    <x v="2"/>
    <x v="0"/>
    <x v="30"/>
  </r>
  <r>
    <n v="1216"/>
    <x v="68"/>
    <x v="0"/>
    <x v="58"/>
    <n v="192"/>
    <x v="0"/>
    <x v="2"/>
    <x v="0"/>
    <x v="30"/>
  </r>
  <r>
    <n v="1217"/>
    <x v="68"/>
    <x v="0"/>
    <x v="96"/>
    <n v="126"/>
    <x v="0"/>
    <x v="2"/>
    <x v="0"/>
    <x v="30"/>
  </r>
  <r>
    <n v="1218"/>
    <x v="68"/>
    <x v="0"/>
    <x v="97"/>
    <n v="54"/>
    <x v="0"/>
    <x v="2"/>
    <x v="0"/>
    <x v="30"/>
  </r>
  <r>
    <n v="1219"/>
    <x v="68"/>
    <x v="0"/>
    <x v="98"/>
    <n v="18"/>
    <x v="0"/>
    <x v="2"/>
    <x v="0"/>
    <x v="30"/>
  </r>
  <r>
    <n v="1220"/>
    <x v="68"/>
    <x v="0"/>
    <x v="59"/>
    <n v="90"/>
    <x v="0"/>
    <x v="2"/>
    <x v="0"/>
    <x v="30"/>
  </r>
  <r>
    <n v="1221"/>
    <x v="68"/>
    <x v="0"/>
    <x v="90"/>
    <n v="126"/>
    <x v="0"/>
    <x v="2"/>
    <x v="0"/>
    <x v="31"/>
  </r>
  <r>
    <n v="1222"/>
    <x v="68"/>
    <x v="0"/>
    <x v="84"/>
    <n v="12"/>
    <x v="0"/>
    <x v="2"/>
    <x v="0"/>
    <x v="31"/>
  </r>
  <r>
    <n v="1223"/>
    <x v="68"/>
    <x v="0"/>
    <x v="92"/>
    <n v="16"/>
    <x v="0"/>
    <x v="2"/>
    <x v="0"/>
    <x v="31"/>
  </r>
  <r>
    <n v="1224"/>
    <x v="68"/>
    <x v="0"/>
    <x v="101"/>
    <n v="189"/>
    <x v="0"/>
    <x v="2"/>
    <x v="0"/>
    <x v="31"/>
  </r>
  <r>
    <n v="1225"/>
    <x v="69"/>
    <x v="0"/>
    <x v="86"/>
    <n v="252"/>
    <x v="0"/>
    <x v="2"/>
    <x v="0"/>
    <x v="32"/>
  </r>
  <r>
    <n v="1226"/>
    <x v="69"/>
    <x v="0"/>
    <x v="87"/>
    <n v="112"/>
    <x v="0"/>
    <x v="2"/>
    <x v="0"/>
    <x v="32"/>
  </r>
  <r>
    <n v="1227"/>
    <x v="69"/>
    <x v="0"/>
    <x v="88"/>
    <n v="84"/>
    <x v="0"/>
    <x v="2"/>
    <x v="0"/>
    <x v="32"/>
  </r>
  <r>
    <n v="1228"/>
    <x v="69"/>
    <x v="0"/>
    <x v="61"/>
    <n v="36"/>
    <x v="0"/>
    <x v="2"/>
    <x v="0"/>
    <x v="32"/>
  </r>
  <r>
    <n v="1229"/>
    <x v="69"/>
    <x v="0"/>
    <x v="90"/>
    <n v="42"/>
    <x v="0"/>
    <x v="2"/>
    <x v="0"/>
    <x v="32"/>
  </r>
  <r>
    <n v="1230"/>
    <x v="69"/>
    <x v="0"/>
    <x v="83"/>
    <n v="12"/>
    <x v="0"/>
    <x v="2"/>
    <x v="0"/>
    <x v="32"/>
  </r>
  <r>
    <n v="1231"/>
    <x v="69"/>
    <x v="0"/>
    <x v="84"/>
    <n v="12"/>
    <x v="0"/>
    <x v="2"/>
    <x v="0"/>
    <x v="32"/>
  </r>
  <r>
    <n v="1232"/>
    <x v="69"/>
    <x v="0"/>
    <x v="49"/>
    <n v="45"/>
    <x v="0"/>
    <x v="2"/>
    <x v="0"/>
    <x v="32"/>
  </r>
  <r>
    <n v="1233"/>
    <x v="69"/>
    <x v="0"/>
    <x v="52"/>
    <n v="60"/>
    <x v="0"/>
    <x v="2"/>
    <x v="0"/>
    <x v="32"/>
  </r>
  <r>
    <n v="1234"/>
    <x v="69"/>
    <x v="0"/>
    <x v="63"/>
    <n v="80"/>
    <x v="0"/>
    <x v="2"/>
    <x v="0"/>
    <x v="32"/>
  </r>
  <r>
    <n v="1235"/>
    <x v="69"/>
    <x v="0"/>
    <x v="93"/>
    <n v="128"/>
    <x v="0"/>
    <x v="2"/>
    <x v="0"/>
    <x v="32"/>
  </r>
  <r>
    <n v="1236"/>
    <x v="69"/>
    <x v="0"/>
    <x v="57"/>
    <n v="128"/>
    <x v="0"/>
    <x v="2"/>
    <x v="0"/>
    <x v="32"/>
  </r>
  <r>
    <n v="1237"/>
    <x v="69"/>
    <x v="0"/>
    <x v="95"/>
    <n v="48"/>
    <x v="0"/>
    <x v="2"/>
    <x v="0"/>
    <x v="32"/>
  </r>
  <r>
    <n v="1238"/>
    <x v="69"/>
    <x v="0"/>
    <x v="98"/>
    <n v="18"/>
    <x v="0"/>
    <x v="2"/>
    <x v="0"/>
    <x v="32"/>
  </r>
  <r>
    <n v="1239"/>
    <x v="69"/>
    <x v="0"/>
    <x v="59"/>
    <n v="90"/>
    <x v="0"/>
    <x v="2"/>
    <x v="0"/>
    <x v="32"/>
  </r>
  <r>
    <n v="1240"/>
    <x v="69"/>
    <x v="0"/>
    <x v="100"/>
    <n v="36"/>
    <x v="0"/>
    <x v="2"/>
    <x v="0"/>
    <x v="32"/>
  </r>
  <r>
    <n v="1241"/>
    <x v="69"/>
    <x v="0"/>
    <x v="149"/>
    <n v="2000"/>
    <x v="0"/>
    <x v="2"/>
    <x v="0"/>
    <x v="32"/>
  </r>
  <r>
    <n v="1242"/>
    <x v="70"/>
    <x v="0"/>
    <x v="54"/>
    <n v="48"/>
    <x v="0"/>
    <x v="5"/>
    <x v="0"/>
    <x v="33"/>
  </r>
  <r>
    <n v="1243"/>
    <x v="70"/>
    <x v="0"/>
    <x v="85"/>
    <n v="108"/>
    <x v="0"/>
    <x v="2"/>
    <x v="0"/>
    <x v="34"/>
  </r>
  <r>
    <n v="1244"/>
    <x v="70"/>
    <x v="0"/>
    <x v="90"/>
    <n v="105"/>
    <x v="0"/>
    <x v="2"/>
    <x v="0"/>
    <x v="34"/>
  </r>
  <r>
    <n v="1245"/>
    <x v="70"/>
    <x v="0"/>
    <x v="83"/>
    <n v="24"/>
    <x v="0"/>
    <x v="2"/>
    <x v="0"/>
    <x v="34"/>
  </r>
  <r>
    <n v="1246"/>
    <x v="70"/>
    <x v="0"/>
    <x v="84"/>
    <n v="24"/>
    <x v="0"/>
    <x v="2"/>
    <x v="0"/>
    <x v="34"/>
  </r>
  <r>
    <n v="1247"/>
    <x v="70"/>
    <x v="0"/>
    <x v="91"/>
    <n v="24"/>
    <x v="0"/>
    <x v="2"/>
    <x v="0"/>
    <x v="34"/>
  </r>
  <r>
    <n v="1248"/>
    <x v="70"/>
    <x v="0"/>
    <x v="92"/>
    <n v="32"/>
    <x v="0"/>
    <x v="2"/>
    <x v="0"/>
    <x v="34"/>
  </r>
  <r>
    <n v="1249"/>
    <x v="70"/>
    <x v="0"/>
    <x v="49"/>
    <n v="180"/>
    <x v="0"/>
    <x v="2"/>
    <x v="0"/>
    <x v="34"/>
  </r>
  <r>
    <n v="1250"/>
    <x v="70"/>
    <x v="0"/>
    <x v="50"/>
    <n v="324"/>
    <x v="0"/>
    <x v="2"/>
    <x v="0"/>
    <x v="34"/>
  </r>
  <r>
    <n v="1251"/>
    <x v="70"/>
    <x v="0"/>
    <x v="52"/>
    <n v="60"/>
    <x v="0"/>
    <x v="2"/>
    <x v="0"/>
    <x v="34"/>
  </r>
  <r>
    <n v="1252"/>
    <x v="70"/>
    <x v="0"/>
    <x v="54"/>
    <n v="120"/>
    <x v="0"/>
    <x v="2"/>
    <x v="0"/>
    <x v="34"/>
  </r>
  <r>
    <n v="1253"/>
    <x v="70"/>
    <x v="0"/>
    <x v="169"/>
    <n v="64"/>
    <x v="0"/>
    <x v="2"/>
    <x v="0"/>
    <x v="34"/>
  </r>
  <r>
    <n v="1254"/>
    <x v="70"/>
    <x v="0"/>
    <x v="98"/>
    <n v="18"/>
    <x v="0"/>
    <x v="2"/>
    <x v="0"/>
    <x v="34"/>
  </r>
  <r>
    <n v="1255"/>
    <x v="70"/>
    <x v="0"/>
    <x v="59"/>
    <n v="105"/>
    <x v="0"/>
    <x v="2"/>
    <x v="0"/>
    <x v="34"/>
  </r>
  <r>
    <n v="1256"/>
    <x v="70"/>
    <x v="0"/>
    <x v="151"/>
    <n v="300"/>
    <x v="0"/>
    <x v="2"/>
    <x v="0"/>
    <x v="34"/>
  </r>
  <r>
    <n v="1257"/>
    <x v="70"/>
    <x v="0"/>
    <x v="85"/>
    <n v="144"/>
    <x v="0"/>
    <x v="2"/>
    <x v="0"/>
    <x v="35"/>
  </r>
  <r>
    <n v="1258"/>
    <x v="70"/>
    <x v="0"/>
    <x v="76"/>
    <n v="27"/>
    <x v="0"/>
    <x v="2"/>
    <x v="0"/>
    <x v="35"/>
  </r>
  <r>
    <n v="1259"/>
    <x v="70"/>
    <x v="0"/>
    <x v="65"/>
    <n v="110"/>
    <x v="0"/>
    <x v="2"/>
    <x v="0"/>
    <x v="35"/>
  </r>
  <r>
    <n v="1260"/>
    <x v="70"/>
    <x v="0"/>
    <x v="66"/>
    <n v="57"/>
    <x v="0"/>
    <x v="2"/>
    <x v="0"/>
    <x v="35"/>
  </r>
  <r>
    <n v="1261"/>
    <x v="70"/>
    <x v="0"/>
    <x v="67"/>
    <n v="15"/>
    <x v="0"/>
    <x v="2"/>
    <x v="0"/>
    <x v="35"/>
  </r>
  <r>
    <n v="1262"/>
    <x v="70"/>
    <x v="0"/>
    <x v="69"/>
    <n v="8"/>
    <x v="0"/>
    <x v="2"/>
    <x v="0"/>
    <x v="35"/>
  </r>
  <r>
    <n v="1263"/>
    <x v="70"/>
    <x v="0"/>
    <x v="70"/>
    <n v="16"/>
    <x v="0"/>
    <x v="2"/>
    <x v="0"/>
    <x v="35"/>
  </r>
  <r>
    <n v="1264"/>
    <x v="70"/>
    <x v="0"/>
    <x v="71"/>
    <n v="8"/>
    <x v="0"/>
    <x v="2"/>
    <x v="0"/>
    <x v="35"/>
  </r>
  <r>
    <n v="1265"/>
    <x v="70"/>
    <x v="0"/>
    <x v="78"/>
    <n v="80"/>
    <x v="0"/>
    <x v="2"/>
    <x v="0"/>
    <x v="35"/>
  </r>
  <r>
    <n v="1266"/>
    <x v="70"/>
    <x v="0"/>
    <x v="79"/>
    <n v="30"/>
    <x v="0"/>
    <x v="2"/>
    <x v="0"/>
    <x v="35"/>
  </r>
  <r>
    <n v="1267"/>
    <x v="70"/>
    <x v="0"/>
    <x v="63"/>
    <n v="160"/>
    <x v="0"/>
    <x v="2"/>
    <x v="0"/>
    <x v="35"/>
  </r>
  <r>
    <n v="1268"/>
    <x v="70"/>
    <x v="0"/>
    <x v="93"/>
    <n v="128"/>
    <x v="0"/>
    <x v="2"/>
    <x v="0"/>
    <x v="35"/>
  </r>
  <r>
    <n v="1269"/>
    <x v="70"/>
    <x v="0"/>
    <x v="170"/>
    <n v="96"/>
    <x v="0"/>
    <x v="2"/>
    <x v="0"/>
    <x v="35"/>
  </r>
  <r>
    <n v="1270"/>
    <x v="70"/>
    <x v="0"/>
    <x v="77"/>
    <n v="147"/>
    <x v="0"/>
    <x v="2"/>
    <x v="0"/>
    <x v="34"/>
  </r>
  <r>
    <n v="1271"/>
    <x v="70"/>
    <x v="0"/>
    <x v="68"/>
    <n v="10"/>
    <x v="0"/>
    <x v="2"/>
    <x v="0"/>
    <x v="34"/>
  </r>
  <r>
    <n v="1272"/>
    <x v="70"/>
    <x v="0"/>
    <x v="72"/>
    <n v="297"/>
    <x v="0"/>
    <x v="2"/>
    <x v="0"/>
    <x v="34"/>
  </r>
  <r>
    <n v="1273"/>
    <x v="70"/>
    <x v="0"/>
    <x v="73"/>
    <n v="176"/>
    <x v="0"/>
    <x v="2"/>
    <x v="0"/>
    <x v="34"/>
  </r>
  <r>
    <n v="1274"/>
    <x v="70"/>
    <x v="0"/>
    <x v="74"/>
    <n v="132"/>
    <x v="0"/>
    <x v="2"/>
    <x v="0"/>
    <x v="34"/>
  </r>
  <r>
    <n v="1275"/>
    <x v="70"/>
    <x v="0"/>
    <x v="104"/>
    <n v="40"/>
    <x v="0"/>
    <x v="2"/>
    <x v="0"/>
    <x v="34"/>
  </r>
  <r>
    <n v="1276"/>
    <x v="70"/>
    <x v="0"/>
    <x v="50"/>
    <n v="72"/>
    <x v="0"/>
    <x v="2"/>
    <x v="0"/>
    <x v="34"/>
  </r>
  <r>
    <n v="1277"/>
    <x v="70"/>
    <x v="0"/>
    <x v="51"/>
    <n v="108"/>
    <x v="0"/>
    <x v="2"/>
    <x v="0"/>
    <x v="34"/>
  </r>
  <r>
    <n v="1278"/>
    <x v="70"/>
    <x v="0"/>
    <x v="53"/>
    <n v="240"/>
    <x v="0"/>
    <x v="2"/>
    <x v="0"/>
    <x v="34"/>
  </r>
  <r>
    <n v="1279"/>
    <x v="70"/>
    <x v="0"/>
    <x v="60"/>
    <n v="252"/>
    <x v="0"/>
    <x v="2"/>
    <x v="0"/>
    <x v="36"/>
  </r>
  <r>
    <n v="1280"/>
    <x v="70"/>
    <x v="0"/>
    <x v="61"/>
    <n v="72"/>
    <x v="0"/>
    <x v="2"/>
    <x v="0"/>
    <x v="36"/>
  </r>
  <r>
    <n v="1281"/>
    <x v="70"/>
    <x v="0"/>
    <x v="51"/>
    <n v="216"/>
    <x v="0"/>
    <x v="2"/>
    <x v="0"/>
    <x v="36"/>
  </r>
  <r>
    <n v="1282"/>
    <x v="70"/>
    <x v="0"/>
    <x v="63"/>
    <n v="480"/>
    <x v="0"/>
    <x v="2"/>
    <x v="0"/>
    <x v="36"/>
  </r>
  <r>
    <n v="1283"/>
    <x v="70"/>
    <x v="0"/>
    <x v="96"/>
    <n v="162"/>
    <x v="0"/>
    <x v="2"/>
    <x v="0"/>
    <x v="36"/>
  </r>
  <r>
    <n v="1284"/>
    <x v="70"/>
    <x v="0"/>
    <x v="100"/>
    <n v="36"/>
    <x v="0"/>
    <x v="2"/>
    <x v="0"/>
    <x v="36"/>
  </r>
  <r>
    <n v="1285"/>
    <x v="70"/>
    <x v="0"/>
    <x v="154"/>
    <n v="48"/>
    <x v="0"/>
    <x v="2"/>
    <x v="0"/>
    <x v="36"/>
  </r>
  <r>
    <n v="1286"/>
    <x v="70"/>
    <x v="0"/>
    <x v="64"/>
    <n v="20"/>
    <x v="0"/>
    <x v="2"/>
    <x v="0"/>
    <x v="37"/>
  </r>
  <r>
    <n v="1287"/>
    <x v="70"/>
    <x v="0"/>
    <x v="89"/>
    <n v="132"/>
    <x v="0"/>
    <x v="2"/>
    <x v="0"/>
    <x v="37"/>
  </r>
  <r>
    <n v="1288"/>
    <x v="70"/>
    <x v="0"/>
    <x v="75"/>
    <n v="81"/>
    <x v="0"/>
    <x v="2"/>
    <x v="0"/>
    <x v="37"/>
  </r>
  <r>
    <n v="1289"/>
    <x v="70"/>
    <x v="0"/>
    <x v="49"/>
    <n v="675"/>
    <x v="0"/>
    <x v="2"/>
    <x v="0"/>
    <x v="37"/>
  </r>
  <r>
    <n v="1290"/>
    <x v="70"/>
    <x v="0"/>
    <x v="94"/>
    <n v="240"/>
    <x v="0"/>
    <x v="2"/>
    <x v="0"/>
    <x v="37"/>
  </r>
  <r>
    <n v="1291"/>
    <x v="71"/>
    <x v="0"/>
    <x v="64"/>
    <n v="400"/>
    <x v="0"/>
    <x v="2"/>
    <x v="0"/>
    <x v="38"/>
  </r>
  <r>
    <n v="1292"/>
    <x v="71"/>
    <x v="0"/>
    <x v="68"/>
    <n v="140"/>
    <x v="0"/>
    <x v="2"/>
    <x v="0"/>
    <x v="38"/>
  </r>
  <r>
    <n v="1293"/>
    <x v="71"/>
    <x v="0"/>
    <x v="70"/>
    <n v="8"/>
    <x v="0"/>
    <x v="2"/>
    <x v="0"/>
    <x v="38"/>
  </r>
  <r>
    <n v="1294"/>
    <x v="71"/>
    <x v="0"/>
    <x v="54"/>
    <n v="336"/>
    <x v="0"/>
    <x v="2"/>
    <x v="0"/>
    <x v="38"/>
  </r>
  <r>
    <n v="1295"/>
    <x v="72"/>
    <x v="1"/>
    <x v="85"/>
    <n v="-72"/>
    <x v="0"/>
    <x v="4"/>
    <x v="2"/>
    <x v="39"/>
  </r>
  <r>
    <n v="1296"/>
    <x v="72"/>
    <x v="0"/>
    <x v="131"/>
    <n v="72"/>
    <x v="0"/>
    <x v="4"/>
    <x v="2"/>
    <x v="39"/>
  </r>
  <r>
    <n v="1297"/>
    <x v="72"/>
    <x v="1"/>
    <x v="76"/>
    <n v="-27"/>
    <x v="0"/>
    <x v="4"/>
    <x v="2"/>
    <x v="39"/>
  </r>
  <r>
    <n v="1298"/>
    <x v="72"/>
    <x v="0"/>
    <x v="132"/>
    <n v="27"/>
    <x v="0"/>
    <x v="4"/>
    <x v="2"/>
    <x v="39"/>
  </r>
  <r>
    <n v="1299"/>
    <x v="72"/>
    <x v="1"/>
    <x v="77"/>
    <n v="-63"/>
    <x v="0"/>
    <x v="4"/>
    <x v="2"/>
    <x v="39"/>
  </r>
  <r>
    <n v="1300"/>
    <x v="72"/>
    <x v="0"/>
    <x v="133"/>
    <n v="63"/>
    <x v="0"/>
    <x v="4"/>
    <x v="2"/>
    <x v="39"/>
  </r>
  <r>
    <n v="1301"/>
    <x v="72"/>
    <x v="1"/>
    <x v="66"/>
    <n v="-9"/>
    <x v="0"/>
    <x v="4"/>
    <x v="2"/>
    <x v="39"/>
  </r>
  <r>
    <n v="1302"/>
    <x v="72"/>
    <x v="0"/>
    <x v="108"/>
    <n v="9"/>
    <x v="0"/>
    <x v="4"/>
    <x v="2"/>
    <x v="39"/>
  </r>
  <r>
    <n v="1303"/>
    <x v="72"/>
    <x v="1"/>
    <x v="75"/>
    <n v="-27"/>
    <x v="0"/>
    <x v="4"/>
    <x v="2"/>
    <x v="39"/>
  </r>
  <r>
    <n v="1304"/>
    <x v="72"/>
    <x v="0"/>
    <x v="155"/>
    <n v="27"/>
    <x v="0"/>
    <x v="4"/>
    <x v="2"/>
    <x v="39"/>
  </r>
  <r>
    <n v="1305"/>
    <x v="72"/>
    <x v="1"/>
    <x v="90"/>
    <n v="-63"/>
    <x v="0"/>
    <x v="4"/>
    <x v="2"/>
    <x v="39"/>
  </r>
  <r>
    <n v="1306"/>
    <x v="72"/>
    <x v="0"/>
    <x v="137"/>
    <n v="63"/>
    <x v="0"/>
    <x v="4"/>
    <x v="2"/>
    <x v="39"/>
  </r>
  <r>
    <n v="1307"/>
    <x v="72"/>
    <x v="1"/>
    <x v="69"/>
    <n v="-16"/>
    <x v="0"/>
    <x v="4"/>
    <x v="2"/>
    <x v="39"/>
  </r>
  <r>
    <n v="1308"/>
    <x v="72"/>
    <x v="0"/>
    <x v="114"/>
    <n v="16"/>
    <x v="0"/>
    <x v="4"/>
    <x v="2"/>
    <x v="39"/>
  </r>
  <r>
    <n v="1309"/>
    <x v="72"/>
    <x v="1"/>
    <x v="70"/>
    <n v="-16"/>
    <x v="0"/>
    <x v="4"/>
    <x v="2"/>
    <x v="39"/>
  </r>
  <r>
    <n v="1310"/>
    <x v="72"/>
    <x v="0"/>
    <x v="115"/>
    <n v="16"/>
    <x v="0"/>
    <x v="4"/>
    <x v="2"/>
    <x v="39"/>
  </r>
  <r>
    <n v="1311"/>
    <x v="72"/>
    <x v="1"/>
    <x v="71"/>
    <n v="-4"/>
    <x v="0"/>
    <x v="4"/>
    <x v="2"/>
    <x v="39"/>
  </r>
  <r>
    <n v="1312"/>
    <x v="72"/>
    <x v="0"/>
    <x v="116"/>
    <n v="4"/>
    <x v="0"/>
    <x v="4"/>
    <x v="2"/>
    <x v="39"/>
  </r>
  <r>
    <n v="1313"/>
    <x v="72"/>
    <x v="1"/>
    <x v="103"/>
    <n v="-45"/>
    <x v="0"/>
    <x v="4"/>
    <x v="2"/>
    <x v="39"/>
  </r>
  <r>
    <n v="1314"/>
    <x v="72"/>
    <x v="0"/>
    <x v="171"/>
    <n v="45"/>
    <x v="0"/>
    <x v="4"/>
    <x v="2"/>
    <x v="39"/>
  </r>
  <r>
    <n v="1315"/>
    <x v="72"/>
    <x v="1"/>
    <x v="82"/>
    <n v="-4"/>
    <x v="0"/>
    <x v="4"/>
    <x v="2"/>
    <x v="39"/>
  </r>
  <r>
    <n v="1316"/>
    <x v="72"/>
    <x v="0"/>
    <x v="172"/>
    <n v="4"/>
    <x v="0"/>
    <x v="4"/>
    <x v="2"/>
    <x v="39"/>
  </r>
  <r>
    <n v="1317"/>
    <x v="72"/>
    <x v="1"/>
    <x v="83"/>
    <n v="-12"/>
    <x v="0"/>
    <x v="4"/>
    <x v="2"/>
    <x v="39"/>
  </r>
  <r>
    <n v="1318"/>
    <x v="72"/>
    <x v="0"/>
    <x v="173"/>
    <n v="12"/>
    <x v="0"/>
    <x v="4"/>
    <x v="2"/>
    <x v="39"/>
  </r>
  <r>
    <n v="1319"/>
    <x v="72"/>
    <x v="1"/>
    <x v="78"/>
    <n v="-80"/>
    <x v="0"/>
    <x v="4"/>
    <x v="2"/>
    <x v="39"/>
  </r>
  <r>
    <n v="1320"/>
    <x v="72"/>
    <x v="0"/>
    <x v="158"/>
    <n v="80"/>
    <x v="0"/>
    <x v="4"/>
    <x v="2"/>
    <x v="39"/>
  </r>
  <r>
    <n v="1321"/>
    <x v="72"/>
    <x v="1"/>
    <x v="79"/>
    <n v="-60"/>
    <x v="0"/>
    <x v="4"/>
    <x v="2"/>
    <x v="39"/>
  </r>
  <r>
    <n v="1322"/>
    <x v="72"/>
    <x v="0"/>
    <x v="159"/>
    <n v="60"/>
    <x v="0"/>
    <x v="4"/>
    <x v="2"/>
    <x v="39"/>
  </r>
  <r>
    <n v="1323"/>
    <x v="72"/>
    <x v="1"/>
    <x v="80"/>
    <n v="-1000"/>
    <x v="0"/>
    <x v="4"/>
    <x v="2"/>
    <x v="39"/>
  </r>
  <r>
    <n v="1324"/>
    <x v="72"/>
    <x v="0"/>
    <x v="141"/>
    <n v="1000"/>
    <x v="0"/>
    <x v="4"/>
    <x v="2"/>
    <x v="39"/>
  </r>
  <r>
    <n v="1325"/>
    <x v="72"/>
    <x v="1"/>
    <x v="52"/>
    <n v="-30"/>
    <x v="0"/>
    <x v="4"/>
    <x v="2"/>
    <x v="39"/>
  </r>
  <r>
    <n v="1326"/>
    <x v="72"/>
    <x v="0"/>
    <x v="121"/>
    <n v="30"/>
    <x v="0"/>
    <x v="4"/>
    <x v="2"/>
    <x v="39"/>
  </r>
  <r>
    <n v="1327"/>
    <x v="72"/>
    <x v="1"/>
    <x v="63"/>
    <n v="-160"/>
    <x v="0"/>
    <x v="4"/>
    <x v="2"/>
    <x v="39"/>
  </r>
  <r>
    <n v="1328"/>
    <x v="72"/>
    <x v="0"/>
    <x v="122"/>
    <n v="160"/>
    <x v="0"/>
    <x v="4"/>
    <x v="2"/>
    <x v="39"/>
  </r>
  <r>
    <n v="1329"/>
    <x v="72"/>
    <x v="1"/>
    <x v="53"/>
    <n v="-96"/>
    <x v="0"/>
    <x v="4"/>
    <x v="2"/>
    <x v="39"/>
  </r>
  <r>
    <n v="1330"/>
    <x v="72"/>
    <x v="0"/>
    <x v="123"/>
    <n v="96"/>
    <x v="0"/>
    <x v="4"/>
    <x v="2"/>
    <x v="39"/>
  </r>
  <r>
    <n v="1331"/>
    <x v="72"/>
    <x v="1"/>
    <x v="168"/>
    <n v="-48"/>
    <x v="0"/>
    <x v="4"/>
    <x v="2"/>
    <x v="39"/>
  </r>
  <r>
    <n v="1332"/>
    <x v="72"/>
    <x v="0"/>
    <x v="174"/>
    <n v="48"/>
    <x v="0"/>
    <x v="4"/>
    <x v="2"/>
    <x v="39"/>
  </r>
  <r>
    <n v="1333"/>
    <x v="72"/>
    <x v="1"/>
    <x v="169"/>
    <n v="-32"/>
    <x v="0"/>
    <x v="4"/>
    <x v="2"/>
    <x v="39"/>
  </r>
  <r>
    <n v="1334"/>
    <x v="72"/>
    <x v="0"/>
    <x v="175"/>
    <n v="32"/>
    <x v="0"/>
    <x v="4"/>
    <x v="2"/>
    <x v="39"/>
  </r>
  <r>
    <n v="1335"/>
    <x v="72"/>
    <x v="1"/>
    <x v="93"/>
    <n v="-128"/>
    <x v="0"/>
    <x v="4"/>
    <x v="2"/>
    <x v="39"/>
  </r>
  <r>
    <n v="1336"/>
    <x v="72"/>
    <x v="0"/>
    <x v="160"/>
    <n v="128"/>
    <x v="0"/>
    <x v="4"/>
    <x v="2"/>
    <x v="39"/>
  </r>
  <r>
    <n v="1337"/>
    <x v="72"/>
    <x v="1"/>
    <x v="81"/>
    <n v="-64"/>
    <x v="0"/>
    <x v="4"/>
    <x v="2"/>
    <x v="39"/>
  </r>
  <r>
    <n v="1338"/>
    <x v="72"/>
    <x v="0"/>
    <x v="161"/>
    <n v="64"/>
    <x v="0"/>
    <x v="4"/>
    <x v="2"/>
    <x v="39"/>
  </r>
  <r>
    <n v="1339"/>
    <x v="72"/>
    <x v="1"/>
    <x v="94"/>
    <n v="-144"/>
    <x v="0"/>
    <x v="4"/>
    <x v="2"/>
    <x v="39"/>
  </r>
  <r>
    <n v="1340"/>
    <x v="72"/>
    <x v="0"/>
    <x v="162"/>
    <n v="144"/>
    <x v="0"/>
    <x v="4"/>
    <x v="2"/>
    <x v="39"/>
  </r>
  <r>
    <n v="1341"/>
    <x v="72"/>
    <x v="1"/>
    <x v="58"/>
    <n v="-96"/>
    <x v="0"/>
    <x v="4"/>
    <x v="2"/>
    <x v="39"/>
  </r>
  <r>
    <n v="1342"/>
    <x v="72"/>
    <x v="0"/>
    <x v="126"/>
    <n v="96"/>
    <x v="0"/>
    <x v="4"/>
    <x v="2"/>
    <x v="39"/>
  </r>
  <r>
    <n v="1343"/>
    <x v="72"/>
    <x v="1"/>
    <x v="96"/>
    <n v="-72"/>
    <x v="0"/>
    <x v="4"/>
    <x v="2"/>
    <x v="39"/>
  </r>
  <r>
    <n v="1344"/>
    <x v="72"/>
    <x v="0"/>
    <x v="148"/>
    <n v="72"/>
    <x v="0"/>
    <x v="4"/>
    <x v="2"/>
    <x v="39"/>
  </r>
  <r>
    <n v="1345"/>
    <x v="72"/>
    <x v="1"/>
    <x v="97"/>
    <n v="-18"/>
    <x v="0"/>
    <x v="4"/>
    <x v="2"/>
    <x v="39"/>
  </r>
  <r>
    <n v="1346"/>
    <x v="72"/>
    <x v="0"/>
    <x v="164"/>
    <n v="18"/>
    <x v="0"/>
    <x v="4"/>
    <x v="2"/>
    <x v="39"/>
  </r>
  <r>
    <n v="1347"/>
    <x v="72"/>
    <x v="1"/>
    <x v="98"/>
    <n v="-18"/>
    <x v="0"/>
    <x v="4"/>
    <x v="2"/>
    <x v="39"/>
  </r>
  <r>
    <n v="1348"/>
    <x v="72"/>
    <x v="0"/>
    <x v="176"/>
    <n v="18"/>
    <x v="0"/>
    <x v="4"/>
    <x v="2"/>
    <x v="39"/>
  </r>
  <r>
    <n v="1349"/>
    <x v="72"/>
    <x v="1"/>
    <x v="170"/>
    <n v="-96"/>
    <x v="0"/>
    <x v="4"/>
    <x v="2"/>
    <x v="39"/>
  </r>
  <r>
    <n v="1350"/>
    <x v="72"/>
    <x v="0"/>
    <x v="177"/>
    <n v="96"/>
    <x v="0"/>
    <x v="4"/>
    <x v="2"/>
    <x v="39"/>
  </r>
  <r>
    <n v="1351"/>
    <x v="72"/>
    <x v="1"/>
    <x v="59"/>
    <n v="-45"/>
    <x v="0"/>
    <x v="4"/>
    <x v="2"/>
    <x v="39"/>
  </r>
  <r>
    <n v="1352"/>
    <x v="72"/>
    <x v="0"/>
    <x v="127"/>
    <n v="45"/>
    <x v="0"/>
    <x v="4"/>
    <x v="2"/>
    <x v="39"/>
  </r>
  <r>
    <n v="1353"/>
    <x v="72"/>
    <x v="1"/>
    <x v="152"/>
    <n v="-36"/>
    <x v="0"/>
    <x v="4"/>
    <x v="2"/>
    <x v="39"/>
  </r>
  <r>
    <n v="1354"/>
    <x v="72"/>
    <x v="0"/>
    <x v="178"/>
    <n v="36"/>
    <x v="0"/>
    <x v="4"/>
    <x v="2"/>
    <x v="39"/>
  </r>
  <r>
    <n v="1355"/>
    <x v="72"/>
    <x v="1"/>
    <x v="99"/>
    <n v="-30"/>
    <x v="0"/>
    <x v="4"/>
    <x v="2"/>
    <x v="39"/>
  </r>
  <r>
    <n v="1356"/>
    <x v="72"/>
    <x v="0"/>
    <x v="165"/>
    <n v="30"/>
    <x v="0"/>
    <x v="4"/>
    <x v="2"/>
    <x v="39"/>
  </r>
  <r>
    <n v="1357"/>
    <x v="72"/>
    <x v="1"/>
    <x v="100"/>
    <n v="-18"/>
    <x v="0"/>
    <x v="4"/>
    <x v="2"/>
    <x v="39"/>
  </r>
  <r>
    <n v="1358"/>
    <x v="72"/>
    <x v="0"/>
    <x v="179"/>
    <n v="18"/>
    <x v="0"/>
    <x v="4"/>
    <x v="2"/>
    <x v="39"/>
  </r>
  <r>
    <n v="1359"/>
    <x v="72"/>
    <x v="1"/>
    <x v="101"/>
    <n v="-54"/>
    <x v="0"/>
    <x v="4"/>
    <x v="2"/>
    <x v="39"/>
  </r>
  <r>
    <n v="1360"/>
    <x v="72"/>
    <x v="0"/>
    <x v="142"/>
    <n v="54"/>
    <x v="0"/>
    <x v="4"/>
    <x v="2"/>
    <x v="39"/>
  </r>
  <r>
    <n v="1361"/>
    <x v="72"/>
    <x v="1"/>
    <x v="150"/>
    <n v="-24"/>
    <x v="0"/>
    <x v="4"/>
    <x v="2"/>
    <x v="39"/>
  </r>
  <r>
    <n v="1362"/>
    <x v="72"/>
    <x v="0"/>
    <x v="166"/>
    <n v="24"/>
    <x v="0"/>
    <x v="4"/>
    <x v="2"/>
    <x v="39"/>
  </r>
  <r>
    <n v="1363"/>
    <x v="72"/>
    <x v="1"/>
    <x v="153"/>
    <n v="-36"/>
    <x v="0"/>
    <x v="4"/>
    <x v="2"/>
    <x v="39"/>
  </r>
  <r>
    <n v="1364"/>
    <x v="72"/>
    <x v="0"/>
    <x v="167"/>
    <n v="36"/>
    <x v="0"/>
    <x v="4"/>
    <x v="2"/>
    <x v="39"/>
  </r>
  <r>
    <n v="1365"/>
    <x v="72"/>
    <x v="1"/>
    <x v="151"/>
    <n v="-100"/>
    <x v="0"/>
    <x v="4"/>
    <x v="2"/>
    <x v="39"/>
  </r>
  <r>
    <n v="1366"/>
    <x v="72"/>
    <x v="0"/>
    <x v="180"/>
    <n v="100"/>
    <x v="0"/>
    <x v="4"/>
    <x v="2"/>
    <x v="39"/>
  </r>
  <r>
    <n v="1367"/>
    <x v="72"/>
    <x v="1"/>
    <x v="154"/>
    <n v="-48"/>
    <x v="0"/>
    <x v="4"/>
    <x v="2"/>
    <x v="39"/>
  </r>
  <r>
    <n v="1368"/>
    <x v="72"/>
    <x v="0"/>
    <x v="181"/>
    <n v="48"/>
    <x v="0"/>
    <x v="4"/>
    <x v="2"/>
    <x v="39"/>
  </r>
  <r>
    <n v="1369"/>
    <x v="72"/>
    <x v="1"/>
    <x v="149"/>
    <n v="-1000"/>
    <x v="0"/>
    <x v="4"/>
    <x v="2"/>
    <x v="39"/>
  </r>
  <r>
    <n v="1370"/>
    <x v="72"/>
    <x v="0"/>
    <x v="182"/>
    <n v="1000"/>
    <x v="0"/>
    <x v="4"/>
    <x v="2"/>
    <x v="39"/>
  </r>
  <r>
    <n v="1371"/>
    <x v="72"/>
    <x v="0"/>
    <x v="85"/>
    <n v="36"/>
    <x v="0"/>
    <x v="2"/>
    <x v="0"/>
    <x v="40"/>
  </r>
  <r>
    <n v="1372"/>
    <x v="72"/>
    <x v="0"/>
    <x v="76"/>
    <n v="108"/>
    <x v="0"/>
    <x v="2"/>
    <x v="0"/>
    <x v="40"/>
  </r>
  <r>
    <n v="1373"/>
    <x v="72"/>
    <x v="0"/>
    <x v="77"/>
    <n v="84"/>
    <x v="0"/>
    <x v="2"/>
    <x v="0"/>
    <x v="40"/>
  </r>
  <r>
    <n v="1374"/>
    <x v="72"/>
    <x v="0"/>
    <x v="64"/>
    <n v="100"/>
    <x v="0"/>
    <x v="2"/>
    <x v="0"/>
    <x v="40"/>
  </r>
  <r>
    <n v="1375"/>
    <x v="72"/>
    <x v="0"/>
    <x v="66"/>
    <n v="15"/>
    <x v="0"/>
    <x v="2"/>
    <x v="0"/>
    <x v="40"/>
  </r>
  <r>
    <n v="1376"/>
    <x v="72"/>
    <x v="0"/>
    <x v="67"/>
    <n v="3"/>
    <x v="0"/>
    <x v="2"/>
    <x v="0"/>
    <x v="40"/>
  </r>
  <r>
    <n v="1377"/>
    <x v="72"/>
    <x v="0"/>
    <x v="75"/>
    <n v="54"/>
    <x v="0"/>
    <x v="2"/>
    <x v="0"/>
    <x v="40"/>
  </r>
  <r>
    <n v="1378"/>
    <x v="72"/>
    <x v="0"/>
    <x v="69"/>
    <n v="8"/>
    <x v="0"/>
    <x v="2"/>
    <x v="0"/>
    <x v="40"/>
  </r>
  <r>
    <n v="1379"/>
    <x v="72"/>
    <x v="0"/>
    <x v="70"/>
    <n v="8"/>
    <x v="0"/>
    <x v="2"/>
    <x v="0"/>
    <x v="40"/>
  </r>
  <r>
    <n v="1380"/>
    <x v="72"/>
    <x v="0"/>
    <x v="71"/>
    <n v="8"/>
    <x v="0"/>
    <x v="2"/>
    <x v="0"/>
    <x v="40"/>
  </r>
  <r>
    <n v="1381"/>
    <x v="72"/>
    <x v="0"/>
    <x v="78"/>
    <n v="120"/>
    <x v="0"/>
    <x v="2"/>
    <x v="0"/>
    <x v="40"/>
  </r>
  <r>
    <n v="1382"/>
    <x v="72"/>
    <x v="0"/>
    <x v="50"/>
    <n v="36"/>
    <x v="0"/>
    <x v="2"/>
    <x v="0"/>
    <x v="40"/>
  </r>
  <r>
    <n v="1383"/>
    <x v="72"/>
    <x v="0"/>
    <x v="51"/>
    <n v="27"/>
    <x v="0"/>
    <x v="2"/>
    <x v="0"/>
    <x v="40"/>
  </r>
  <r>
    <n v="1384"/>
    <x v="72"/>
    <x v="0"/>
    <x v="81"/>
    <n v="128"/>
    <x v="0"/>
    <x v="2"/>
    <x v="0"/>
    <x v="40"/>
  </r>
  <r>
    <n v="1385"/>
    <x v="72"/>
    <x v="0"/>
    <x v="94"/>
    <n v="144"/>
    <x v="0"/>
    <x v="2"/>
    <x v="0"/>
    <x v="40"/>
  </r>
  <r>
    <n v="1386"/>
    <x v="72"/>
    <x v="0"/>
    <x v="183"/>
    <n v="32"/>
    <x v="0"/>
    <x v="2"/>
    <x v="0"/>
    <x v="40"/>
  </r>
  <r>
    <n v="1387"/>
    <x v="72"/>
    <x v="0"/>
    <x v="184"/>
    <n v="32"/>
    <x v="0"/>
    <x v="2"/>
    <x v="0"/>
    <x v="40"/>
  </r>
  <r>
    <n v="1388"/>
    <x v="72"/>
    <x v="0"/>
    <x v="150"/>
    <n v="24"/>
    <x v="0"/>
    <x v="2"/>
    <x v="0"/>
    <x v="40"/>
  </r>
  <r>
    <n v="1389"/>
    <x v="72"/>
    <x v="0"/>
    <x v="90"/>
    <n v="105"/>
    <x v="0"/>
    <x v="2"/>
    <x v="0"/>
    <x v="41"/>
  </r>
  <r>
    <n v="1390"/>
    <x v="72"/>
    <x v="0"/>
    <x v="82"/>
    <n v="16"/>
    <x v="0"/>
    <x v="2"/>
    <x v="0"/>
    <x v="41"/>
  </r>
  <r>
    <n v="1391"/>
    <x v="72"/>
    <x v="0"/>
    <x v="78"/>
    <n v="40"/>
    <x v="0"/>
    <x v="2"/>
    <x v="0"/>
    <x v="41"/>
  </r>
  <r>
    <n v="1392"/>
    <x v="72"/>
    <x v="0"/>
    <x v="94"/>
    <n v="48"/>
    <x v="0"/>
    <x v="2"/>
    <x v="0"/>
    <x v="41"/>
  </r>
  <r>
    <n v="1393"/>
    <x v="72"/>
    <x v="0"/>
    <x v="57"/>
    <n v="64"/>
    <x v="0"/>
    <x v="2"/>
    <x v="0"/>
    <x v="41"/>
  </r>
  <r>
    <n v="1394"/>
    <x v="72"/>
    <x v="0"/>
    <x v="95"/>
    <n v="48"/>
    <x v="0"/>
    <x v="2"/>
    <x v="0"/>
    <x v="41"/>
  </r>
  <r>
    <n v="1395"/>
    <x v="72"/>
    <x v="0"/>
    <x v="96"/>
    <n v="54"/>
    <x v="0"/>
    <x v="2"/>
    <x v="0"/>
    <x v="41"/>
  </r>
  <r>
    <n v="1396"/>
    <x v="72"/>
    <x v="0"/>
    <x v="97"/>
    <n v="108"/>
    <x v="0"/>
    <x v="2"/>
    <x v="0"/>
    <x v="41"/>
  </r>
  <r>
    <n v="1397"/>
    <x v="72"/>
    <x v="0"/>
    <x v="99"/>
    <n v="60"/>
    <x v="0"/>
    <x v="2"/>
    <x v="0"/>
    <x v="41"/>
  </r>
  <r>
    <n v="1398"/>
    <x v="72"/>
    <x v="0"/>
    <x v="150"/>
    <n v="48"/>
    <x v="0"/>
    <x v="2"/>
    <x v="0"/>
    <x v="41"/>
  </r>
  <r>
    <n v="1399"/>
    <x v="72"/>
    <x v="0"/>
    <x v="149"/>
    <n v="2000"/>
    <x v="0"/>
    <x v="2"/>
    <x v="0"/>
    <x v="41"/>
  </r>
  <r>
    <n v="1400"/>
    <x v="73"/>
    <x v="0"/>
    <x v="85"/>
    <n v="36"/>
    <x v="0"/>
    <x v="2"/>
    <x v="0"/>
    <x v="42"/>
  </r>
  <r>
    <n v="1401"/>
    <x v="73"/>
    <x v="0"/>
    <x v="66"/>
    <n v="69"/>
    <x v="0"/>
    <x v="2"/>
    <x v="0"/>
    <x v="42"/>
  </r>
  <r>
    <n v="1402"/>
    <x v="73"/>
    <x v="0"/>
    <x v="67"/>
    <n v="18"/>
    <x v="0"/>
    <x v="2"/>
    <x v="0"/>
    <x v="42"/>
  </r>
  <r>
    <n v="1403"/>
    <x v="73"/>
    <x v="0"/>
    <x v="68"/>
    <n v="40"/>
    <x v="0"/>
    <x v="2"/>
    <x v="0"/>
    <x v="42"/>
  </r>
  <r>
    <n v="1404"/>
    <x v="73"/>
    <x v="0"/>
    <x v="69"/>
    <n v="8"/>
    <x v="0"/>
    <x v="2"/>
    <x v="0"/>
    <x v="42"/>
  </r>
  <r>
    <n v="1405"/>
    <x v="73"/>
    <x v="0"/>
    <x v="71"/>
    <n v="8"/>
    <x v="0"/>
    <x v="2"/>
    <x v="0"/>
    <x v="42"/>
  </r>
  <r>
    <n v="1406"/>
    <x v="73"/>
    <x v="0"/>
    <x v="73"/>
    <n v="44"/>
    <x v="0"/>
    <x v="2"/>
    <x v="0"/>
    <x v="42"/>
  </r>
  <r>
    <n v="1407"/>
    <x v="73"/>
    <x v="0"/>
    <x v="74"/>
    <n v="44"/>
    <x v="0"/>
    <x v="2"/>
    <x v="0"/>
    <x v="42"/>
  </r>
  <r>
    <n v="1408"/>
    <x v="73"/>
    <x v="0"/>
    <x v="103"/>
    <n v="45"/>
    <x v="0"/>
    <x v="2"/>
    <x v="0"/>
    <x v="42"/>
  </r>
  <r>
    <n v="1409"/>
    <x v="73"/>
    <x v="0"/>
    <x v="78"/>
    <n v="40"/>
    <x v="0"/>
    <x v="2"/>
    <x v="0"/>
    <x v="42"/>
  </r>
  <r>
    <n v="1410"/>
    <x v="73"/>
    <x v="0"/>
    <x v="49"/>
    <n v="180"/>
    <x v="0"/>
    <x v="2"/>
    <x v="0"/>
    <x v="42"/>
  </r>
  <r>
    <n v="1411"/>
    <x v="73"/>
    <x v="0"/>
    <x v="50"/>
    <n v="36"/>
    <x v="0"/>
    <x v="2"/>
    <x v="0"/>
    <x v="42"/>
  </r>
  <r>
    <n v="1412"/>
    <x v="73"/>
    <x v="0"/>
    <x v="51"/>
    <n v="54"/>
    <x v="0"/>
    <x v="2"/>
    <x v="0"/>
    <x v="42"/>
  </r>
  <r>
    <n v="1413"/>
    <x v="73"/>
    <x v="0"/>
    <x v="52"/>
    <n v="30"/>
    <x v="0"/>
    <x v="2"/>
    <x v="0"/>
    <x v="42"/>
  </r>
  <r>
    <n v="1414"/>
    <x v="73"/>
    <x v="0"/>
    <x v="63"/>
    <n v="80"/>
    <x v="0"/>
    <x v="2"/>
    <x v="0"/>
    <x v="42"/>
  </r>
  <r>
    <n v="1415"/>
    <x v="73"/>
    <x v="0"/>
    <x v="53"/>
    <n v="288"/>
    <x v="0"/>
    <x v="2"/>
    <x v="0"/>
    <x v="42"/>
  </r>
  <r>
    <n v="1416"/>
    <x v="73"/>
    <x v="0"/>
    <x v="54"/>
    <n v="240"/>
    <x v="0"/>
    <x v="2"/>
    <x v="0"/>
    <x v="42"/>
  </r>
  <r>
    <n v="1417"/>
    <x v="73"/>
    <x v="0"/>
    <x v="94"/>
    <n v="48"/>
    <x v="0"/>
    <x v="2"/>
    <x v="0"/>
    <x v="42"/>
  </r>
  <r>
    <n v="1418"/>
    <x v="74"/>
    <x v="0"/>
    <x v="87"/>
    <n v="168"/>
    <x v="0"/>
    <x v="2"/>
    <x v="0"/>
    <x v="43"/>
  </r>
  <r>
    <n v="1419"/>
    <x v="74"/>
    <x v="0"/>
    <x v="90"/>
    <n v="105"/>
    <x v="0"/>
    <x v="2"/>
    <x v="0"/>
    <x v="43"/>
  </r>
  <r>
    <n v="1420"/>
    <x v="74"/>
    <x v="0"/>
    <x v="83"/>
    <n v="12"/>
    <x v="0"/>
    <x v="2"/>
    <x v="0"/>
    <x v="43"/>
  </r>
  <r>
    <n v="1421"/>
    <x v="74"/>
    <x v="0"/>
    <x v="84"/>
    <n v="12"/>
    <x v="0"/>
    <x v="2"/>
    <x v="0"/>
    <x v="43"/>
  </r>
  <r>
    <n v="1422"/>
    <x v="74"/>
    <x v="0"/>
    <x v="49"/>
    <n v="180"/>
    <x v="0"/>
    <x v="2"/>
    <x v="0"/>
    <x v="43"/>
  </r>
  <r>
    <n v="1423"/>
    <x v="74"/>
    <x v="0"/>
    <x v="51"/>
    <n v="108"/>
    <x v="0"/>
    <x v="2"/>
    <x v="0"/>
    <x v="44"/>
  </r>
  <r>
    <n v="1424"/>
    <x v="74"/>
    <x v="0"/>
    <x v="168"/>
    <n v="48"/>
    <x v="0"/>
    <x v="2"/>
    <x v="0"/>
    <x v="44"/>
  </r>
  <r>
    <n v="1425"/>
    <x v="74"/>
    <x v="0"/>
    <x v="169"/>
    <n v="32"/>
    <x v="0"/>
    <x v="2"/>
    <x v="0"/>
    <x v="44"/>
  </r>
  <r>
    <n v="1426"/>
    <x v="74"/>
    <x v="0"/>
    <x v="81"/>
    <n v="64"/>
    <x v="0"/>
    <x v="2"/>
    <x v="0"/>
    <x v="44"/>
  </r>
  <r>
    <n v="1427"/>
    <x v="74"/>
    <x v="0"/>
    <x v="57"/>
    <n v="128"/>
    <x v="0"/>
    <x v="2"/>
    <x v="0"/>
    <x v="44"/>
  </r>
  <r>
    <n v="1428"/>
    <x v="74"/>
    <x v="0"/>
    <x v="95"/>
    <n v="96"/>
    <x v="0"/>
    <x v="2"/>
    <x v="0"/>
    <x v="45"/>
  </r>
  <r>
    <n v="1429"/>
    <x v="74"/>
    <x v="0"/>
    <x v="58"/>
    <n v="240"/>
    <x v="0"/>
    <x v="2"/>
    <x v="0"/>
    <x v="45"/>
  </r>
  <r>
    <n v="1430"/>
    <x v="74"/>
    <x v="0"/>
    <x v="96"/>
    <n v="90"/>
    <x v="0"/>
    <x v="2"/>
    <x v="0"/>
    <x v="45"/>
  </r>
  <r>
    <n v="1431"/>
    <x v="74"/>
    <x v="0"/>
    <x v="97"/>
    <n v="36"/>
    <x v="0"/>
    <x v="2"/>
    <x v="0"/>
    <x v="45"/>
  </r>
  <r>
    <n v="1432"/>
    <x v="74"/>
    <x v="0"/>
    <x v="98"/>
    <n v="18"/>
    <x v="0"/>
    <x v="2"/>
    <x v="0"/>
    <x v="45"/>
  </r>
  <r>
    <n v="1433"/>
    <x v="74"/>
    <x v="0"/>
    <x v="59"/>
    <n v="135"/>
    <x v="0"/>
    <x v="2"/>
    <x v="0"/>
    <x v="46"/>
  </r>
  <r>
    <n v="1434"/>
    <x v="74"/>
    <x v="0"/>
    <x v="99"/>
    <n v="30"/>
    <x v="0"/>
    <x v="2"/>
    <x v="0"/>
    <x v="46"/>
  </r>
  <r>
    <n v="1435"/>
    <x v="74"/>
    <x v="0"/>
    <x v="185"/>
    <n v="120"/>
    <x v="0"/>
    <x v="2"/>
    <x v="0"/>
    <x v="46"/>
  </r>
  <r>
    <n v="1436"/>
    <x v="74"/>
    <x v="0"/>
    <x v="101"/>
    <n v="108"/>
    <x v="0"/>
    <x v="2"/>
    <x v="0"/>
    <x v="46"/>
  </r>
  <r>
    <n v="1437"/>
    <x v="75"/>
    <x v="0"/>
    <x v="85"/>
    <n v="36"/>
    <x v="0"/>
    <x v="2"/>
    <x v="0"/>
    <x v="47"/>
  </r>
  <r>
    <n v="1438"/>
    <x v="75"/>
    <x v="0"/>
    <x v="76"/>
    <n v="162"/>
    <x v="0"/>
    <x v="2"/>
    <x v="0"/>
    <x v="47"/>
  </r>
  <r>
    <n v="1439"/>
    <x v="75"/>
    <x v="0"/>
    <x v="77"/>
    <n v="105"/>
    <x v="0"/>
    <x v="2"/>
    <x v="0"/>
    <x v="47"/>
  </r>
  <r>
    <n v="1440"/>
    <x v="75"/>
    <x v="0"/>
    <x v="65"/>
    <n v="80"/>
    <x v="0"/>
    <x v="2"/>
    <x v="0"/>
    <x v="47"/>
  </r>
  <r>
    <n v="1441"/>
    <x v="75"/>
    <x v="0"/>
    <x v="66"/>
    <n v="27"/>
    <x v="0"/>
    <x v="2"/>
    <x v="0"/>
    <x v="47"/>
  </r>
  <r>
    <n v="1442"/>
    <x v="75"/>
    <x v="0"/>
    <x v="67"/>
    <n v="9"/>
    <x v="0"/>
    <x v="2"/>
    <x v="0"/>
    <x v="47"/>
  </r>
  <r>
    <n v="1443"/>
    <x v="75"/>
    <x v="0"/>
    <x v="89"/>
    <n v="33"/>
    <x v="0"/>
    <x v="2"/>
    <x v="0"/>
    <x v="47"/>
  </r>
  <r>
    <n v="1444"/>
    <x v="75"/>
    <x v="0"/>
    <x v="75"/>
    <n v="54"/>
    <x v="0"/>
    <x v="2"/>
    <x v="0"/>
    <x v="47"/>
  </r>
  <r>
    <n v="1445"/>
    <x v="75"/>
    <x v="0"/>
    <x v="68"/>
    <n v="20"/>
    <x v="0"/>
    <x v="2"/>
    <x v="0"/>
    <x v="47"/>
  </r>
  <r>
    <n v="1446"/>
    <x v="75"/>
    <x v="0"/>
    <x v="69"/>
    <n v="8"/>
    <x v="0"/>
    <x v="2"/>
    <x v="0"/>
    <x v="47"/>
  </r>
  <r>
    <n v="1447"/>
    <x v="75"/>
    <x v="0"/>
    <x v="70"/>
    <n v="24"/>
    <x v="0"/>
    <x v="2"/>
    <x v="0"/>
    <x v="47"/>
  </r>
  <r>
    <n v="1448"/>
    <x v="75"/>
    <x v="0"/>
    <x v="71"/>
    <n v="8"/>
    <x v="0"/>
    <x v="2"/>
    <x v="0"/>
    <x v="47"/>
  </r>
  <r>
    <n v="1449"/>
    <x v="75"/>
    <x v="0"/>
    <x v="104"/>
    <n v="20"/>
    <x v="0"/>
    <x v="2"/>
    <x v="0"/>
    <x v="47"/>
  </r>
  <r>
    <n v="1450"/>
    <x v="75"/>
    <x v="0"/>
    <x v="105"/>
    <n v="20"/>
    <x v="0"/>
    <x v="2"/>
    <x v="0"/>
    <x v="47"/>
  </r>
  <r>
    <n v="1451"/>
    <x v="75"/>
    <x v="0"/>
    <x v="78"/>
    <n v="80"/>
    <x v="0"/>
    <x v="2"/>
    <x v="0"/>
    <x v="47"/>
  </r>
  <r>
    <n v="1452"/>
    <x v="75"/>
    <x v="0"/>
    <x v="79"/>
    <n v="30"/>
    <x v="0"/>
    <x v="2"/>
    <x v="0"/>
    <x v="47"/>
  </r>
  <r>
    <n v="1453"/>
    <x v="75"/>
    <x v="0"/>
    <x v="49"/>
    <n v="135"/>
    <x v="0"/>
    <x v="2"/>
    <x v="0"/>
    <x v="47"/>
  </r>
  <r>
    <n v="1454"/>
    <x v="75"/>
    <x v="0"/>
    <x v="50"/>
    <n v="72"/>
    <x v="0"/>
    <x v="2"/>
    <x v="0"/>
    <x v="47"/>
  </r>
  <r>
    <n v="1455"/>
    <x v="75"/>
    <x v="0"/>
    <x v="51"/>
    <n v="27"/>
    <x v="0"/>
    <x v="2"/>
    <x v="0"/>
    <x v="47"/>
  </r>
  <r>
    <n v="1456"/>
    <x v="75"/>
    <x v="0"/>
    <x v="53"/>
    <n v="48"/>
    <x v="0"/>
    <x v="2"/>
    <x v="0"/>
    <x v="47"/>
  </r>
  <r>
    <n v="1457"/>
    <x v="75"/>
    <x v="0"/>
    <x v="54"/>
    <n v="24"/>
    <x v="0"/>
    <x v="2"/>
    <x v="0"/>
    <x v="47"/>
  </r>
  <r>
    <n v="1458"/>
    <x v="75"/>
    <x v="0"/>
    <x v="81"/>
    <n v="448"/>
    <x v="0"/>
    <x v="2"/>
    <x v="0"/>
    <x v="47"/>
  </r>
  <r>
    <n v="1459"/>
    <x v="75"/>
    <x v="0"/>
    <x v="170"/>
    <n v="144"/>
    <x v="0"/>
    <x v="2"/>
    <x v="0"/>
    <x v="47"/>
  </r>
  <r>
    <n v="1460"/>
    <x v="75"/>
    <x v="0"/>
    <x v="150"/>
    <n v="96"/>
    <x v="0"/>
    <x v="2"/>
    <x v="0"/>
    <x v="47"/>
  </r>
  <r>
    <n v="1461"/>
    <x v="75"/>
    <x v="0"/>
    <x v="89"/>
    <n v="66"/>
    <x v="0"/>
    <x v="2"/>
    <x v="0"/>
    <x v="48"/>
  </r>
  <r>
    <n v="1462"/>
    <x v="75"/>
    <x v="0"/>
    <x v="72"/>
    <n v="99"/>
    <x v="0"/>
    <x v="2"/>
    <x v="0"/>
    <x v="48"/>
  </r>
  <r>
    <n v="1463"/>
    <x v="75"/>
    <x v="0"/>
    <x v="49"/>
    <n v="315"/>
    <x v="0"/>
    <x v="2"/>
    <x v="0"/>
    <x v="48"/>
  </r>
  <r>
    <n v="1464"/>
    <x v="75"/>
    <x v="0"/>
    <x v="53"/>
    <n v="96"/>
    <x v="0"/>
    <x v="2"/>
    <x v="0"/>
    <x v="48"/>
  </r>
  <r>
    <n v="1465"/>
    <x v="75"/>
    <x v="0"/>
    <x v="54"/>
    <n v="168"/>
    <x v="0"/>
    <x v="2"/>
    <x v="0"/>
    <x v="48"/>
  </r>
  <r>
    <n v="1466"/>
    <x v="75"/>
    <x v="0"/>
    <x v="66"/>
    <n v="45"/>
    <x v="0"/>
    <x v="2"/>
    <x v="0"/>
    <x v="49"/>
  </r>
  <r>
    <n v="1467"/>
    <x v="75"/>
    <x v="0"/>
    <x v="88"/>
    <n v="42"/>
    <x v="0"/>
    <x v="2"/>
    <x v="0"/>
    <x v="49"/>
  </r>
  <r>
    <n v="1468"/>
    <x v="75"/>
    <x v="0"/>
    <x v="62"/>
    <n v="16"/>
    <x v="0"/>
    <x v="2"/>
    <x v="0"/>
    <x v="49"/>
  </r>
  <r>
    <n v="1469"/>
    <x v="75"/>
    <x v="0"/>
    <x v="90"/>
    <n v="21"/>
    <x v="0"/>
    <x v="2"/>
    <x v="0"/>
    <x v="49"/>
  </r>
  <r>
    <n v="1470"/>
    <x v="75"/>
    <x v="0"/>
    <x v="49"/>
    <n v="45"/>
    <x v="0"/>
    <x v="2"/>
    <x v="0"/>
    <x v="49"/>
  </r>
  <r>
    <n v="1471"/>
    <x v="75"/>
    <x v="0"/>
    <x v="56"/>
    <n v="32"/>
    <x v="0"/>
    <x v="2"/>
    <x v="0"/>
    <x v="49"/>
  </r>
  <r>
    <n v="1472"/>
    <x v="75"/>
    <x v="0"/>
    <x v="57"/>
    <n v="128"/>
    <x v="0"/>
    <x v="2"/>
    <x v="0"/>
    <x v="49"/>
  </r>
  <r>
    <n v="1473"/>
    <x v="75"/>
    <x v="0"/>
    <x v="152"/>
    <n v="18"/>
    <x v="0"/>
    <x v="2"/>
    <x v="0"/>
    <x v="49"/>
  </r>
  <r>
    <n v="1474"/>
    <x v="75"/>
    <x v="0"/>
    <x v="149"/>
    <n v="2000"/>
    <x v="0"/>
    <x v="2"/>
    <x v="0"/>
    <x v="49"/>
  </r>
  <r>
    <n v="1475"/>
    <x v="76"/>
    <x v="0"/>
    <x v="70"/>
    <n v="16"/>
    <x v="0"/>
    <x v="5"/>
    <x v="0"/>
    <x v="49"/>
  </r>
  <r>
    <n v="1476"/>
    <x v="76"/>
    <x v="0"/>
    <x v="70"/>
    <n v="16"/>
    <x v="0"/>
    <x v="5"/>
    <x v="0"/>
    <x v="49"/>
  </r>
  <r>
    <n v="1477"/>
    <x v="77"/>
    <x v="0"/>
    <x v="66"/>
    <n v="105"/>
    <x v="0"/>
    <x v="2"/>
    <x v="0"/>
    <x v="50"/>
  </r>
  <r>
    <n v="1478"/>
    <x v="77"/>
    <x v="0"/>
    <x v="87"/>
    <n v="112"/>
    <x v="0"/>
    <x v="2"/>
    <x v="0"/>
    <x v="50"/>
  </r>
  <r>
    <n v="1479"/>
    <x v="77"/>
    <x v="0"/>
    <x v="88"/>
    <n v="84"/>
    <x v="0"/>
    <x v="2"/>
    <x v="0"/>
    <x v="50"/>
  </r>
  <r>
    <n v="1480"/>
    <x v="77"/>
    <x v="0"/>
    <x v="62"/>
    <n v="112"/>
    <x v="0"/>
    <x v="2"/>
    <x v="0"/>
    <x v="50"/>
  </r>
  <r>
    <n v="1481"/>
    <x v="77"/>
    <x v="0"/>
    <x v="49"/>
    <n v="90"/>
    <x v="0"/>
    <x v="2"/>
    <x v="0"/>
    <x v="50"/>
  </r>
  <r>
    <n v="1482"/>
    <x v="77"/>
    <x v="0"/>
    <x v="50"/>
    <n v="72"/>
    <x v="0"/>
    <x v="2"/>
    <x v="0"/>
    <x v="50"/>
  </r>
  <r>
    <n v="1483"/>
    <x v="77"/>
    <x v="0"/>
    <x v="51"/>
    <n v="27"/>
    <x v="0"/>
    <x v="2"/>
    <x v="0"/>
    <x v="50"/>
  </r>
  <r>
    <n v="1484"/>
    <x v="77"/>
    <x v="0"/>
    <x v="56"/>
    <n v="96"/>
    <x v="0"/>
    <x v="2"/>
    <x v="0"/>
    <x v="50"/>
  </r>
  <r>
    <n v="1485"/>
    <x v="77"/>
    <x v="0"/>
    <x v="57"/>
    <n v="128"/>
    <x v="0"/>
    <x v="2"/>
    <x v="0"/>
    <x v="50"/>
  </r>
  <r>
    <n v="1486"/>
    <x v="77"/>
    <x v="0"/>
    <x v="95"/>
    <n v="96"/>
    <x v="0"/>
    <x v="2"/>
    <x v="0"/>
    <x v="50"/>
  </r>
  <r>
    <n v="1487"/>
    <x v="77"/>
    <x v="0"/>
    <x v="58"/>
    <n v="96"/>
    <x v="0"/>
    <x v="2"/>
    <x v="0"/>
    <x v="50"/>
  </r>
  <r>
    <n v="1488"/>
    <x v="77"/>
    <x v="0"/>
    <x v="96"/>
    <n v="36"/>
    <x v="0"/>
    <x v="2"/>
    <x v="0"/>
    <x v="50"/>
  </r>
  <r>
    <n v="1489"/>
    <x v="77"/>
    <x v="0"/>
    <x v="97"/>
    <n v="54"/>
    <x v="0"/>
    <x v="2"/>
    <x v="0"/>
    <x v="50"/>
  </r>
  <r>
    <n v="1490"/>
    <x v="77"/>
    <x v="0"/>
    <x v="59"/>
    <n v="120"/>
    <x v="0"/>
    <x v="2"/>
    <x v="0"/>
    <x v="50"/>
  </r>
  <r>
    <n v="1491"/>
    <x v="77"/>
    <x v="0"/>
    <x v="152"/>
    <n v="54"/>
    <x v="0"/>
    <x v="2"/>
    <x v="0"/>
    <x v="50"/>
  </r>
  <r>
    <n v="1492"/>
    <x v="77"/>
    <x v="0"/>
    <x v="101"/>
    <n v="54"/>
    <x v="0"/>
    <x v="2"/>
    <x v="0"/>
    <x v="50"/>
  </r>
  <r>
    <n v="1493"/>
    <x v="77"/>
    <x v="0"/>
    <x v="85"/>
    <n v="36"/>
    <x v="0"/>
    <x v="2"/>
    <x v="0"/>
    <x v="51"/>
  </r>
  <r>
    <n v="1494"/>
    <x v="77"/>
    <x v="0"/>
    <x v="76"/>
    <n v="54"/>
    <x v="0"/>
    <x v="2"/>
    <x v="0"/>
    <x v="51"/>
  </r>
  <r>
    <n v="1495"/>
    <x v="77"/>
    <x v="0"/>
    <x v="77"/>
    <n v="63"/>
    <x v="0"/>
    <x v="2"/>
    <x v="0"/>
    <x v="51"/>
  </r>
  <r>
    <n v="1496"/>
    <x v="77"/>
    <x v="0"/>
    <x v="64"/>
    <n v="10"/>
    <x v="0"/>
    <x v="2"/>
    <x v="0"/>
    <x v="51"/>
  </r>
  <r>
    <n v="1497"/>
    <x v="77"/>
    <x v="0"/>
    <x v="65"/>
    <n v="90"/>
    <x v="0"/>
    <x v="2"/>
    <x v="0"/>
    <x v="51"/>
  </r>
  <r>
    <n v="1498"/>
    <x v="77"/>
    <x v="0"/>
    <x v="66"/>
    <n v="33"/>
    <x v="0"/>
    <x v="2"/>
    <x v="0"/>
    <x v="51"/>
  </r>
  <r>
    <n v="1499"/>
    <x v="77"/>
    <x v="0"/>
    <x v="67"/>
    <n v="3"/>
    <x v="0"/>
    <x v="2"/>
    <x v="0"/>
    <x v="51"/>
  </r>
  <r>
    <n v="1500"/>
    <x v="77"/>
    <x v="0"/>
    <x v="89"/>
    <n v="33"/>
    <x v="0"/>
    <x v="2"/>
    <x v="0"/>
    <x v="51"/>
  </r>
  <r>
    <n v="1501"/>
    <x v="77"/>
    <x v="0"/>
    <x v="75"/>
    <n v="108"/>
    <x v="0"/>
    <x v="2"/>
    <x v="0"/>
    <x v="51"/>
  </r>
  <r>
    <n v="1502"/>
    <x v="77"/>
    <x v="0"/>
    <x v="68"/>
    <n v="10"/>
    <x v="0"/>
    <x v="2"/>
    <x v="0"/>
    <x v="51"/>
  </r>
  <r>
    <n v="1503"/>
    <x v="77"/>
    <x v="0"/>
    <x v="69"/>
    <n v="16"/>
    <x v="0"/>
    <x v="2"/>
    <x v="0"/>
    <x v="51"/>
  </r>
  <r>
    <n v="1504"/>
    <x v="77"/>
    <x v="0"/>
    <x v="70"/>
    <n v="16"/>
    <x v="0"/>
    <x v="2"/>
    <x v="0"/>
    <x v="51"/>
  </r>
  <r>
    <n v="1505"/>
    <x v="77"/>
    <x v="0"/>
    <x v="71"/>
    <n v="8"/>
    <x v="0"/>
    <x v="2"/>
    <x v="0"/>
    <x v="51"/>
  </r>
  <r>
    <n v="1506"/>
    <x v="77"/>
    <x v="0"/>
    <x v="73"/>
    <n v="44"/>
    <x v="0"/>
    <x v="2"/>
    <x v="0"/>
    <x v="51"/>
  </r>
  <r>
    <n v="1507"/>
    <x v="77"/>
    <x v="0"/>
    <x v="74"/>
    <n v="44"/>
    <x v="0"/>
    <x v="2"/>
    <x v="0"/>
    <x v="51"/>
  </r>
  <r>
    <n v="1508"/>
    <x v="77"/>
    <x v="0"/>
    <x v="78"/>
    <n v="120"/>
    <x v="0"/>
    <x v="2"/>
    <x v="0"/>
    <x v="51"/>
  </r>
  <r>
    <n v="1509"/>
    <x v="77"/>
    <x v="0"/>
    <x v="79"/>
    <n v="30"/>
    <x v="0"/>
    <x v="2"/>
    <x v="0"/>
    <x v="51"/>
  </r>
  <r>
    <n v="1510"/>
    <x v="77"/>
    <x v="0"/>
    <x v="49"/>
    <n v="180"/>
    <x v="0"/>
    <x v="2"/>
    <x v="0"/>
    <x v="51"/>
  </r>
  <r>
    <n v="1511"/>
    <x v="77"/>
    <x v="0"/>
    <x v="51"/>
    <n v="108"/>
    <x v="0"/>
    <x v="2"/>
    <x v="0"/>
    <x v="51"/>
  </r>
  <r>
    <n v="1512"/>
    <x v="77"/>
    <x v="0"/>
    <x v="63"/>
    <n v="80"/>
    <x v="0"/>
    <x v="2"/>
    <x v="0"/>
    <x v="51"/>
  </r>
  <r>
    <n v="1513"/>
    <x v="77"/>
    <x v="0"/>
    <x v="53"/>
    <n v="96"/>
    <x v="0"/>
    <x v="2"/>
    <x v="0"/>
    <x v="51"/>
  </r>
  <r>
    <n v="1514"/>
    <x v="77"/>
    <x v="0"/>
    <x v="54"/>
    <n v="24"/>
    <x v="0"/>
    <x v="2"/>
    <x v="0"/>
    <x v="51"/>
  </r>
  <r>
    <n v="1515"/>
    <x v="77"/>
    <x v="0"/>
    <x v="81"/>
    <n v="192"/>
    <x v="0"/>
    <x v="2"/>
    <x v="0"/>
    <x v="51"/>
  </r>
  <r>
    <n v="1516"/>
    <x v="77"/>
    <x v="0"/>
    <x v="94"/>
    <n v="48"/>
    <x v="0"/>
    <x v="2"/>
    <x v="0"/>
    <x v="51"/>
  </r>
  <r>
    <n v="1517"/>
    <x v="77"/>
    <x v="0"/>
    <x v="150"/>
    <n v="24"/>
    <x v="0"/>
    <x v="2"/>
    <x v="0"/>
    <x v="51"/>
  </r>
  <r>
    <n v="1518"/>
    <x v="77"/>
    <x v="0"/>
    <x v="153"/>
    <n v="24"/>
    <x v="0"/>
    <x v="2"/>
    <x v="0"/>
    <x v="51"/>
  </r>
  <r>
    <n v="1519"/>
    <x v="77"/>
    <x v="0"/>
    <x v="151"/>
    <n v="100"/>
    <x v="0"/>
    <x v="2"/>
    <x v="0"/>
    <x v="51"/>
  </r>
  <r>
    <n v="1520"/>
    <x v="78"/>
    <x v="0"/>
    <x v="66"/>
    <n v="147"/>
    <x v="0"/>
    <x v="2"/>
    <x v="0"/>
    <x v="52"/>
  </r>
  <r>
    <n v="1521"/>
    <x v="78"/>
    <x v="0"/>
    <x v="86"/>
    <n v="168"/>
    <x v="0"/>
    <x v="2"/>
    <x v="0"/>
    <x v="52"/>
  </r>
  <r>
    <n v="1522"/>
    <x v="78"/>
    <x v="0"/>
    <x v="61"/>
    <n v="72"/>
    <x v="0"/>
    <x v="2"/>
    <x v="0"/>
    <x v="52"/>
  </r>
  <r>
    <n v="1523"/>
    <x v="78"/>
    <x v="0"/>
    <x v="55"/>
    <n v="80"/>
    <x v="0"/>
    <x v="2"/>
    <x v="0"/>
    <x v="52"/>
  </r>
  <r>
    <n v="1524"/>
    <x v="78"/>
    <x v="0"/>
    <x v="62"/>
    <n v="112"/>
    <x v="0"/>
    <x v="2"/>
    <x v="0"/>
    <x v="52"/>
  </r>
  <r>
    <n v="1525"/>
    <x v="78"/>
    <x v="0"/>
    <x v="49"/>
    <n v="90"/>
    <x v="0"/>
    <x v="2"/>
    <x v="0"/>
    <x v="52"/>
  </r>
  <r>
    <n v="1526"/>
    <x v="78"/>
    <x v="0"/>
    <x v="56"/>
    <n v="64"/>
    <x v="0"/>
    <x v="2"/>
    <x v="0"/>
    <x v="52"/>
  </r>
  <r>
    <n v="1527"/>
    <x v="78"/>
    <x v="0"/>
    <x v="57"/>
    <n v="128"/>
    <x v="0"/>
    <x v="2"/>
    <x v="0"/>
    <x v="52"/>
  </r>
  <r>
    <n v="1528"/>
    <x v="78"/>
    <x v="0"/>
    <x v="95"/>
    <n v="48"/>
    <x v="0"/>
    <x v="2"/>
    <x v="0"/>
    <x v="52"/>
  </r>
  <r>
    <n v="1529"/>
    <x v="78"/>
    <x v="0"/>
    <x v="58"/>
    <n v="96"/>
    <x v="0"/>
    <x v="2"/>
    <x v="0"/>
    <x v="52"/>
  </r>
  <r>
    <n v="1530"/>
    <x v="78"/>
    <x v="0"/>
    <x v="96"/>
    <n v="54"/>
    <x v="0"/>
    <x v="2"/>
    <x v="0"/>
    <x v="52"/>
  </r>
  <r>
    <n v="1531"/>
    <x v="78"/>
    <x v="0"/>
    <x v="97"/>
    <n v="36"/>
    <x v="0"/>
    <x v="2"/>
    <x v="0"/>
    <x v="52"/>
  </r>
  <r>
    <n v="1532"/>
    <x v="78"/>
    <x v="0"/>
    <x v="98"/>
    <n v="18"/>
    <x v="0"/>
    <x v="2"/>
    <x v="0"/>
    <x v="52"/>
  </r>
  <r>
    <n v="1533"/>
    <x v="78"/>
    <x v="0"/>
    <x v="59"/>
    <n v="75"/>
    <x v="0"/>
    <x v="2"/>
    <x v="0"/>
    <x v="52"/>
  </r>
  <r>
    <n v="1534"/>
    <x v="78"/>
    <x v="0"/>
    <x v="152"/>
    <n v="54"/>
    <x v="0"/>
    <x v="2"/>
    <x v="0"/>
    <x v="52"/>
  </r>
  <r>
    <n v="1535"/>
    <x v="78"/>
    <x v="0"/>
    <x v="101"/>
    <n v="27"/>
    <x v="0"/>
    <x v="2"/>
    <x v="0"/>
    <x v="52"/>
  </r>
  <r>
    <n v="1536"/>
    <x v="78"/>
    <x v="0"/>
    <x v="149"/>
    <n v="2000"/>
    <x v="0"/>
    <x v="2"/>
    <x v="0"/>
    <x v="52"/>
  </r>
  <r>
    <n v="1537"/>
    <x v="78"/>
    <x v="0"/>
    <x v="76"/>
    <n v="54"/>
    <x v="0"/>
    <x v="2"/>
    <x v="0"/>
    <x v="53"/>
  </r>
  <r>
    <n v="1538"/>
    <x v="78"/>
    <x v="0"/>
    <x v="75"/>
    <n v="27"/>
    <x v="0"/>
    <x v="2"/>
    <x v="0"/>
    <x v="53"/>
  </r>
  <r>
    <n v="1539"/>
    <x v="78"/>
    <x v="0"/>
    <x v="90"/>
    <n v="63"/>
    <x v="0"/>
    <x v="2"/>
    <x v="0"/>
    <x v="53"/>
  </r>
  <r>
    <n v="1540"/>
    <x v="78"/>
    <x v="0"/>
    <x v="68"/>
    <n v="30"/>
    <x v="0"/>
    <x v="2"/>
    <x v="0"/>
    <x v="53"/>
  </r>
  <r>
    <n v="1541"/>
    <x v="78"/>
    <x v="0"/>
    <x v="69"/>
    <n v="8"/>
    <x v="0"/>
    <x v="2"/>
    <x v="0"/>
    <x v="53"/>
  </r>
  <r>
    <n v="1542"/>
    <x v="78"/>
    <x v="0"/>
    <x v="70"/>
    <n v="24"/>
    <x v="0"/>
    <x v="2"/>
    <x v="0"/>
    <x v="53"/>
  </r>
  <r>
    <n v="1543"/>
    <x v="78"/>
    <x v="0"/>
    <x v="71"/>
    <n v="8"/>
    <x v="0"/>
    <x v="2"/>
    <x v="0"/>
    <x v="53"/>
  </r>
  <r>
    <n v="1544"/>
    <x v="78"/>
    <x v="0"/>
    <x v="78"/>
    <n v="120"/>
    <x v="0"/>
    <x v="2"/>
    <x v="0"/>
    <x v="53"/>
  </r>
  <r>
    <n v="1545"/>
    <x v="78"/>
    <x v="0"/>
    <x v="79"/>
    <n v="30"/>
    <x v="0"/>
    <x v="2"/>
    <x v="0"/>
    <x v="53"/>
  </r>
  <r>
    <n v="1546"/>
    <x v="78"/>
    <x v="0"/>
    <x v="49"/>
    <n v="90"/>
    <x v="0"/>
    <x v="2"/>
    <x v="0"/>
    <x v="53"/>
  </r>
  <r>
    <n v="1547"/>
    <x v="78"/>
    <x v="0"/>
    <x v="53"/>
    <n v="240"/>
    <x v="0"/>
    <x v="2"/>
    <x v="0"/>
    <x v="53"/>
  </r>
  <r>
    <n v="1548"/>
    <x v="78"/>
    <x v="0"/>
    <x v="54"/>
    <n v="144"/>
    <x v="0"/>
    <x v="2"/>
    <x v="0"/>
    <x v="53"/>
  </r>
  <r>
    <n v="1549"/>
    <x v="78"/>
    <x v="0"/>
    <x v="81"/>
    <n v="448"/>
    <x v="0"/>
    <x v="2"/>
    <x v="0"/>
    <x v="53"/>
  </r>
  <r>
    <n v="1550"/>
    <x v="78"/>
    <x v="0"/>
    <x v="94"/>
    <n v="336"/>
    <x v="0"/>
    <x v="2"/>
    <x v="0"/>
    <x v="53"/>
  </r>
  <r>
    <n v="1551"/>
    <x v="78"/>
    <x v="0"/>
    <x v="170"/>
    <n v="48"/>
    <x v="0"/>
    <x v="2"/>
    <x v="0"/>
    <x v="53"/>
  </r>
  <r>
    <n v="1552"/>
    <x v="78"/>
    <x v="0"/>
    <x v="183"/>
    <n v="32"/>
    <x v="0"/>
    <x v="2"/>
    <x v="0"/>
    <x v="53"/>
  </r>
  <r>
    <n v="1553"/>
    <x v="78"/>
    <x v="0"/>
    <x v="99"/>
    <n v="30"/>
    <x v="0"/>
    <x v="2"/>
    <x v="0"/>
    <x v="53"/>
  </r>
  <r>
    <n v="1554"/>
    <x v="78"/>
    <x v="0"/>
    <x v="101"/>
    <n v="54"/>
    <x v="0"/>
    <x v="2"/>
    <x v="0"/>
    <x v="53"/>
  </r>
  <r>
    <n v="1555"/>
    <x v="78"/>
    <x v="0"/>
    <x v="150"/>
    <n v="96"/>
    <x v="0"/>
    <x v="2"/>
    <x v="0"/>
    <x v="53"/>
  </r>
  <r>
    <n v="1556"/>
    <x v="78"/>
    <x v="0"/>
    <x v="153"/>
    <n v="48"/>
    <x v="0"/>
    <x v="2"/>
    <x v="0"/>
    <x v="53"/>
  </r>
  <r>
    <n v="1557"/>
    <x v="79"/>
    <x v="0"/>
    <x v="66"/>
    <n v="12"/>
    <x v="0"/>
    <x v="2"/>
    <x v="0"/>
    <x v="54"/>
  </r>
  <r>
    <n v="1558"/>
    <x v="79"/>
    <x v="0"/>
    <x v="88"/>
    <n v="168"/>
    <x v="0"/>
    <x v="2"/>
    <x v="0"/>
    <x v="54"/>
  </r>
  <r>
    <n v="1559"/>
    <x v="79"/>
    <x v="0"/>
    <x v="62"/>
    <n v="32"/>
    <x v="0"/>
    <x v="2"/>
    <x v="0"/>
    <x v="54"/>
  </r>
  <r>
    <n v="1560"/>
    <x v="79"/>
    <x v="0"/>
    <x v="49"/>
    <n v="585"/>
    <x v="0"/>
    <x v="2"/>
    <x v="0"/>
    <x v="54"/>
  </r>
  <r>
    <n v="1561"/>
    <x v="79"/>
    <x v="0"/>
    <x v="57"/>
    <n v="192"/>
    <x v="0"/>
    <x v="2"/>
    <x v="0"/>
    <x v="54"/>
  </r>
  <r>
    <n v="1562"/>
    <x v="79"/>
    <x v="0"/>
    <x v="95"/>
    <n v="96"/>
    <x v="0"/>
    <x v="2"/>
    <x v="0"/>
    <x v="54"/>
  </r>
  <r>
    <n v="1563"/>
    <x v="79"/>
    <x v="0"/>
    <x v="58"/>
    <n v="96"/>
    <x v="0"/>
    <x v="2"/>
    <x v="0"/>
    <x v="54"/>
  </r>
  <r>
    <n v="1564"/>
    <x v="79"/>
    <x v="0"/>
    <x v="96"/>
    <n v="72"/>
    <x v="0"/>
    <x v="2"/>
    <x v="0"/>
    <x v="54"/>
  </r>
  <r>
    <n v="1565"/>
    <x v="79"/>
    <x v="0"/>
    <x v="97"/>
    <n v="54"/>
    <x v="0"/>
    <x v="2"/>
    <x v="0"/>
    <x v="54"/>
  </r>
  <r>
    <n v="1566"/>
    <x v="79"/>
    <x v="0"/>
    <x v="59"/>
    <n v="165"/>
    <x v="0"/>
    <x v="2"/>
    <x v="0"/>
    <x v="54"/>
  </r>
  <r>
    <n v="1567"/>
    <x v="79"/>
    <x v="0"/>
    <x v="152"/>
    <n v="108"/>
    <x v="0"/>
    <x v="2"/>
    <x v="0"/>
    <x v="54"/>
  </r>
  <r>
    <n v="1568"/>
    <x v="79"/>
    <x v="0"/>
    <x v="186"/>
    <n v="30"/>
    <x v="0"/>
    <x v="2"/>
    <x v="0"/>
    <x v="54"/>
  </r>
  <r>
    <n v="1569"/>
    <x v="79"/>
    <x v="0"/>
    <x v="187"/>
    <n v="21"/>
    <x v="0"/>
    <x v="2"/>
    <x v="0"/>
    <x v="54"/>
  </r>
  <r>
    <n v="1570"/>
    <x v="79"/>
    <x v="0"/>
    <x v="188"/>
    <n v="15"/>
    <x v="0"/>
    <x v="2"/>
    <x v="0"/>
    <x v="54"/>
  </r>
  <r>
    <n v="1571"/>
    <x v="79"/>
    <x v="0"/>
    <x v="149"/>
    <n v="2000"/>
    <x v="0"/>
    <x v="2"/>
    <x v="0"/>
    <x v="54"/>
  </r>
  <r>
    <n v="1572"/>
    <x v="79"/>
    <x v="0"/>
    <x v="85"/>
    <n v="108"/>
    <x v="0"/>
    <x v="2"/>
    <x v="0"/>
    <x v="55"/>
  </r>
  <r>
    <n v="1573"/>
    <x v="79"/>
    <x v="0"/>
    <x v="76"/>
    <n v="81"/>
    <x v="0"/>
    <x v="2"/>
    <x v="0"/>
    <x v="55"/>
  </r>
  <r>
    <n v="1574"/>
    <x v="79"/>
    <x v="0"/>
    <x v="77"/>
    <n v="21"/>
    <x v="0"/>
    <x v="2"/>
    <x v="0"/>
    <x v="55"/>
  </r>
  <r>
    <n v="1575"/>
    <x v="79"/>
    <x v="0"/>
    <x v="65"/>
    <n v="120"/>
    <x v="0"/>
    <x v="2"/>
    <x v="0"/>
    <x v="55"/>
  </r>
  <r>
    <n v="1576"/>
    <x v="79"/>
    <x v="0"/>
    <x v="89"/>
    <n v="132"/>
    <x v="0"/>
    <x v="2"/>
    <x v="0"/>
    <x v="55"/>
  </r>
  <r>
    <n v="1577"/>
    <x v="79"/>
    <x v="0"/>
    <x v="75"/>
    <n v="81"/>
    <x v="0"/>
    <x v="2"/>
    <x v="0"/>
    <x v="55"/>
  </r>
  <r>
    <n v="1578"/>
    <x v="79"/>
    <x v="0"/>
    <x v="90"/>
    <n v="21"/>
    <x v="0"/>
    <x v="2"/>
    <x v="0"/>
    <x v="55"/>
  </r>
  <r>
    <n v="1579"/>
    <x v="79"/>
    <x v="0"/>
    <x v="68"/>
    <n v="50"/>
    <x v="0"/>
    <x v="2"/>
    <x v="0"/>
    <x v="55"/>
  </r>
  <r>
    <n v="1580"/>
    <x v="79"/>
    <x v="0"/>
    <x v="69"/>
    <n v="16"/>
    <x v="0"/>
    <x v="2"/>
    <x v="0"/>
    <x v="55"/>
  </r>
  <r>
    <n v="1581"/>
    <x v="79"/>
    <x v="0"/>
    <x v="70"/>
    <n v="16"/>
    <x v="0"/>
    <x v="2"/>
    <x v="0"/>
    <x v="55"/>
  </r>
  <r>
    <n v="1582"/>
    <x v="79"/>
    <x v="0"/>
    <x v="71"/>
    <n v="16"/>
    <x v="0"/>
    <x v="2"/>
    <x v="0"/>
    <x v="55"/>
  </r>
  <r>
    <n v="1583"/>
    <x v="79"/>
    <x v="0"/>
    <x v="82"/>
    <n v="16"/>
    <x v="0"/>
    <x v="2"/>
    <x v="0"/>
    <x v="55"/>
  </r>
  <r>
    <n v="1584"/>
    <x v="79"/>
    <x v="0"/>
    <x v="78"/>
    <n v="40"/>
    <x v="0"/>
    <x v="2"/>
    <x v="0"/>
    <x v="55"/>
  </r>
  <r>
    <n v="1585"/>
    <x v="79"/>
    <x v="0"/>
    <x v="79"/>
    <n v="30"/>
    <x v="0"/>
    <x v="2"/>
    <x v="0"/>
    <x v="55"/>
  </r>
  <r>
    <n v="1586"/>
    <x v="79"/>
    <x v="0"/>
    <x v="49"/>
    <n v="450"/>
    <x v="0"/>
    <x v="2"/>
    <x v="0"/>
    <x v="55"/>
  </r>
  <r>
    <n v="1587"/>
    <x v="79"/>
    <x v="0"/>
    <x v="52"/>
    <n v="30"/>
    <x v="0"/>
    <x v="2"/>
    <x v="0"/>
    <x v="55"/>
  </r>
  <r>
    <n v="1588"/>
    <x v="79"/>
    <x v="0"/>
    <x v="53"/>
    <n v="48"/>
    <x v="0"/>
    <x v="2"/>
    <x v="0"/>
    <x v="55"/>
  </r>
  <r>
    <n v="1589"/>
    <x v="79"/>
    <x v="0"/>
    <x v="169"/>
    <n v="32"/>
    <x v="0"/>
    <x v="2"/>
    <x v="0"/>
    <x v="55"/>
  </r>
  <r>
    <n v="1590"/>
    <x v="79"/>
    <x v="0"/>
    <x v="81"/>
    <n v="64"/>
    <x v="0"/>
    <x v="2"/>
    <x v="0"/>
    <x v="55"/>
  </r>
  <r>
    <n v="1591"/>
    <x v="79"/>
    <x v="0"/>
    <x v="184"/>
    <n v="32"/>
    <x v="0"/>
    <x v="2"/>
    <x v="0"/>
    <x v="55"/>
  </r>
  <r>
    <n v="1592"/>
    <x v="79"/>
    <x v="0"/>
    <x v="99"/>
    <n v="30"/>
    <x v="0"/>
    <x v="2"/>
    <x v="0"/>
    <x v="55"/>
  </r>
  <r>
    <n v="1593"/>
    <x v="79"/>
    <x v="0"/>
    <x v="154"/>
    <n v="48"/>
    <x v="0"/>
    <x v="2"/>
    <x v="0"/>
    <x v="55"/>
  </r>
  <r>
    <n v="1626"/>
    <x v="80"/>
    <x v="1"/>
    <x v="85"/>
    <n v="-72"/>
    <x v="0"/>
    <x v="4"/>
    <x v="2"/>
    <x v="56"/>
  </r>
  <r>
    <n v="1627"/>
    <x v="80"/>
    <x v="0"/>
    <x v="131"/>
    <n v="72"/>
    <x v="0"/>
    <x v="4"/>
    <x v="2"/>
    <x v="56"/>
  </r>
  <r>
    <n v="1628"/>
    <x v="80"/>
    <x v="1"/>
    <x v="76"/>
    <n v="-27"/>
    <x v="0"/>
    <x v="4"/>
    <x v="2"/>
    <x v="56"/>
  </r>
  <r>
    <n v="1629"/>
    <x v="80"/>
    <x v="0"/>
    <x v="132"/>
    <n v="27"/>
    <x v="0"/>
    <x v="4"/>
    <x v="2"/>
    <x v="56"/>
  </r>
  <r>
    <n v="1630"/>
    <x v="80"/>
    <x v="1"/>
    <x v="77"/>
    <n v="-42"/>
    <x v="0"/>
    <x v="4"/>
    <x v="2"/>
    <x v="56"/>
  </r>
  <r>
    <n v="1631"/>
    <x v="80"/>
    <x v="0"/>
    <x v="133"/>
    <n v="42"/>
    <x v="0"/>
    <x v="4"/>
    <x v="2"/>
    <x v="56"/>
  </r>
  <r>
    <n v="1632"/>
    <x v="80"/>
    <x v="1"/>
    <x v="64"/>
    <n v="-60"/>
    <x v="0"/>
    <x v="4"/>
    <x v="2"/>
    <x v="56"/>
  </r>
  <r>
    <n v="1633"/>
    <x v="80"/>
    <x v="0"/>
    <x v="106"/>
    <n v="60"/>
    <x v="0"/>
    <x v="4"/>
    <x v="2"/>
    <x v="56"/>
  </r>
  <r>
    <n v="1634"/>
    <x v="80"/>
    <x v="1"/>
    <x v="65"/>
    <n v="-40"/>
    <x v="0"/>
    <x v="4"/>
    <x v="2"/>
    <x v="56"/>
  </r>
  <r>
    <n v="1635"/>
    <x v="80"/>
    <x v="0"/>
    <x v="107"/>
    <n v="40"/>
    <x v="0"/>
    <x v="4"/>
    <x v="2"/>
    <x v="56"/>
  </r>
  <r>
    <n v="1636"/>
    <x v="80"/>
    <x v="1"/>
    <x v="66"/>
    <n v="-12"/>
    <x v="0"/>
    <x v="4"/>
    <x v="2"/>
    <x v="56"/>
  </r>
  <r>
    <n v="1637"/>
    <x v="80"/>
    <x v="0"/>
    <x v="108"/>
    <n v="12"/>
    <x v="0"/>
    <x v="4"/>
    <x v="2"/>
    <x v="56"/>
  </r>
  <r>
    <n v="1638"/>
    <x v="80"/>
    <x v="1"/>
    <x v="87"/>
    <n v="-56"/>
    <x v="0"/>
    <x v="4"/>
    <x v="2"/>
    <x v="56"/>
  </r>
  <r>
    <n v="1639"/>
    <x v="80"/>
    <x v="0"/>
    <x v="134"/>
    <n v="56"/>
    <x v="0"/>
    <x v="4"/>
    <x v="2"/>
    <x v="56"/>
  </r>
  <r>
    <n v="1640"/>
    <x v="80"/>
    <x v="1"/>
    <x v="88"/>
    <n v="-42"/>
    <x v="0"/>
    <x v="4"/>
    <x v="2"/>
    <x v="56"/>
  </r>
  <r>
    <n v="1641"/>
    <x v="80"/>
    <x v="0"/>
    <x v="144"/>
    <n v="42"/>
    <x v="0"/>
    <x v="4"/>
    <x v="2"/>
    <x v="56"/>
  </r>
  <r>
    <n v="1642"/>
    <x v="80"/>
    <x v="1"/>
    <x v="61"/>
    <n v="-36"/>
    <x v="0"/>
    <x v="4"/>
    <x v="2"/>
    <x v="56"/>
  </r>
  <r>
    <n v="1643"/>
    <x v="80"/>
    <x v="0"/>
    <x v="110"/>
    <n v="36"/>
    <x v="0"/>
    <x v="4"/>
    <x v="2"/>
    <x v="56"/>
  </r>
  <r>
    <n v="1644"/>
    <x v="80"/>
    <x v="1"/>
    <x v="62"/>
    <n v="-16"/>
    <x v="0"/>
    <x v="4"/>
    <x v="2"/>
    <x v="56"/>
  </r>
  <r>
    <n v="1645"/>
    <x v="80"/>
    <x v="0"/>
    <x v="112"/>
    <n v="16"/>
    <x v="0"/>
    <x v="4"/>
    <x v="2"/>
    <x v="56"/>
  </r>
  <r>
    <n v="1646"/>
    <x v="80"/>
    <x v="1"/>
    <x v="89"/>
    <n v="-66"/>
    <x v="0"/>
    <x v="4"/>
    <x v="2"/>
    <x v="56"/>
  </r>
  <r>
    <n v="1647"/>
    <x v="80"/>
    <x v="0"/>
    <x v="136"/>
    <n v="66"/>
    <x v="0"/>
    <x v="4"/>
    <x v="2"/>
    <x v="56"/>
  </r>
  <r>
    <n v="1648"/>
    <x v="80"/>
    <x v="1"/>
    <x v="75"/>
    <n v="-27"/>
    <x v="0"/>
    <x v="4"/>
    <x v="2"/>
    <x v="56"/>
  </r>
  <r>
    <n v="1649"/>
    <x v="80"/>
    <x v="0"/>
    <x v="155"/>
    <n v="27"/>
    <x v="0"/>
    <x v="4"/>
    <x v="2"/>
    <x v="56"/>
  </r>
  <r>
    <n v="1650"/>
    <x v="80"/>
    <x v="1"/>
    <x v="90"/>
    <n v="-21"/>
    <x v="0"/>
    <x v="4"/>
    <x v="2"/>
    <x v="56"/>
  </r>
  <r>
    <n v="1651"/>
    <x v="80"/>
    <x v="0"/>
    <x v="137"/>
    <n v="21"/>
    <x v="0"/>
    <x v="4"/>
    <x v="2"/>
    <x v="56"/>
  </r>
  <r>
    <n v="1652"/>
    <x v="80"/>
    <x v="1"/>
    <x v="69"/>
    <n v="-8"/>
    <x v="0"/>
    <x v="4"/>
    <x v="2"/>
    <x v="56"/>
  </r>
  <r>
    <n v="1653"/>
    <x v="80"/>
    <x v="0"/>
    <x v="114"/>
    <n v="8"/>
    <x v="0"/>
    <x v="4"/>
    <x v="2"/>
    <x v="56"/>
  </r>
  <r>
    <n v="1654"/>
    <x v="80"/>
    <x v="1"/>
    <x v="70"/>
    <n v="-24"/>
    <x v="0"/>
    <x v="4"/>
    <x v="2"/>
    <x v="56"/>
  </r>
  <r>
    <n v="1655"/>
    <x v="80"/>
    <x v="0"/>
    <x v="115"/>
    <n v="24"/>
    <x v="0"/>
    <x v="4"/>
    <x v="2"/>
    <x v="56"/>
  </r>
  <r>
    <n v="1656"/>
    <x v="80"/>
    <x v="1"/>
    <x v="71"/>
    <n v="-4"/>
    <x v="0"/>
    <x v="4"/>
    <x v="2"/>
    <x v="56"/>
  </r>
  <r>
    <n v="1657"/>
    <x v="80"/>
    <x v="0"/>
    <x v="116"/>
    <n v="4"/>
    <x v="0"/>
    <x v="4"/>
    <x v="2"/>
    <x v="56"/>
  </r>
  <r>
    <n v="1658"/>
    <x v="80"/>
    <x v="1"/>
    <x v="73"/>
    <n v="-44"/>
    <x v="0"/>
    <x v="4"/>
    <x v="2"/>
    <x v="56"/>
  </r>
  <r>
    <n v="1659"/>
    <x v="80"/>
    <x v="0"/>
    <x v="139"/>
    <n v="44"/>
    <x v="0"/>
    <x v="4"/>
    <x v="2"/>
    <x v="56"/>
  </r>
  <r>
    <n v="1662"/>
    <x v="80"/>
    <x v="1"/>
    <x v="79"/>
    <n v="-30"/>
    <x v="0"/>
    <x v="4"/>
    <x v="2"/>
    <x v="56"/>
  </r>
  <r>
    <n v="1663"/>
    <x v="80"/>
    <x v="0"/>
    <x v="159"/>
    <n v="30"/>
    <x v="0"/>
    <x v="4"/>
    <x v="2"/>
    <x v="56"/>
  </r>
  <r>
    <n v="1664"/>
    <x v="80"/>
    <x v="1"/>
    <x v="49"/>
    <n v="-180"/>
    <x v="0"/>
    <x v="4"/>
    <x v="2"/>
    <x v="56"/>
  </r>
  <r>
    <n v="1665"/>
    <x v="80"/>
    <x v="0"/>
    <x v="117"/>
    <n v="180"/>
    <x v="0"/>
    <x v="4"/>
    <x v="2"/>
    <x v="56"/>
  </r>
  <r>
    <n v="1666"/>
    <x v="80"/>
    <x v="1"/>
    <x v="50"/>
    <n v="-36"/>
    <x v="0"/>
    <x v="4"/>
    <x v="2"/>
    <x v="56"/>
  </r>
  <r>
    <n v="1667"/>
    <x v="80"/>
    <x v="0"/>
    <x v="118"/>
    <n v="36"/>
    <x v="0"/>
    <x v="4"/>
    <x v="2"/>
    <x v="56"/>
  </r>
  <r>
    <n v="1668"/>
    <x v="80"/>
    <x v="1"/>
    <x v="51"/>
    <n v="-54"/>
    <x v="0"/>
    <x v="4"/>
    <x v="2"/>
    <x v="56"/>
  </r>
  <r>
    <n v="1669"/>
    <x v="80"/>
    <x v="0"/>
    <x v="119"/>
    <n v="54"/>
    <x v="0"/>
    <x v="4"/>
    <x v="2"/>
    <x v="56"/>
  </r>
  <r>
    <n v="1670"/>
    <x v="80"/>
    <x v="1"/>
    <x v="63"/>
    <n v="-80"/>
    <x v="0"/>
    <x v="4"/>
    <x v="2"/>
    <x v="56"/>
  </r>
  <r>
    <n v="1671"/>
    <x v="80"/>
    <x v="0"/>
    <x v="122"/>
    <n v="80"/>
    <x v="0"/>
    <x v="4"/>
    <x v="2"/>
    <x v="56"/>
  </r>
  <r>
    <n v="1672"/>
    <x v="80"/>
    <x v="1"/>
    <x v="53"/>
    <n v="-96"/>
    <x v="0"/>
    <x v="4"/>
    <x v="2"/>
    <x v="56"/>
  </r>
  <r>
    <n v="1673"/>
    <x v="80"/>
    <x v="0"/>
    <x v="123"/>
    <n v="96"/>
    <x v="0"/>
    <x v="4"/>
    <x v="2"/>
    <x v="56"/>
  </r>
  <r>
    <n v="1674"/>
    <x v="80"/>
    <x v="1"/>
    <x v="54"/>
    <n v="-120"/>
    <x v="0"/>
    <x v="4"/>
    <x v="2"/>
    <x v="56"/>
  </r>
  <r>
    <n v="1675"/>
    <x v="80"/>
    <x v="0"/>
    <x v="124"/>
    <n v="120"/>
    <x v="0"/>
    <x v="4"/>
    <x v="2"/>
    <x v="56"/>
  </r>
  <r>
    <n v="1676"/>
    <x v="80"/>
    <x v="1"/>
    <x v="94"/>
    <n v="-48"/>
    <x v="0"/>
    <x v="4"/>
    <x v="2"/>
    <x v="56"/>
  </r>
  <r>
    <n v="1677"/>
    <x v="80"/>
    <x v="0"/>
    <x v="162"/>
    <n v="48"/>
    <x v="0"/>
    <x v="4"/>
    <x v="2"/>
    <x v="56"/>
  </r>
  <r>
    <n v="1678"/>
    <x v="80"/>
    <x v="1"/>
    <x v="57"/>
    <n v="-64"/>
    <x v="0"/>
    <x v="4"/>
    <x v="2"/>
    <x v="56"/>
  </r>
  <r>
    <n v="1679"/>
    <x v="80"/>
    <x v="0"/>
    <x v="125"/>
    <n v="64"/>
    <x v="0"/>
    <x v="4"/>
    <x v="2"/>
    <x v="56"/>
  </r>
  <r>
    <n v="1680"/>
    <x v="80"/>
    <x v="1"/>
    <x v="97"/>
    <n v="-18"/>
    <x v="0"/>
    <x v="4"/>
    <x v="2"/>
    <x v="56"/>
  </r>
  <r>
    <n v="1681"/>
    <x v="80"/>
    <x v="0"/>
    <x v="164"/>
    <n v="18"/>
    <x v="0"/>
    <x v="4"/>
    <x v="2"/>
    <x v="56"/>
  </r>
  <r>
    <n v="1682"/>
    <x v="80"/>
    <x v="1"/>
    <x v="183"/>
    <n v="-32"/>
    <x v="0"/>
    <x v="4"/>
    <x v="2"/>
    <x v="56"/>
  </r>
  <r>
    <n v="1683"/>
    <x v="80"/>
    <x v="0"/>
    <x v="189"/>
    <n v="32"/>
    <x v="0"/>
    <x v="4"/>
    <x v="2"/>
    <x v="56"/>
  </r>
  <r>
    <n v="1684"/>
    <x v="80"/>
    <x v="1"/>
    <x v="59"/>
    <n v="-60"/>
    <x v="0"/>
    <x v="4"/>
    <x v="2"/>
    <x v="56"/>
  </r>
  <r>
    <n v="1685"/>
    <x v="80"/>
    <x v="0"/>
    <x v="127"/>
    <n v="60"/>
    <x v="0"/>
    <x v="4"/>
    <x v="2"/>
    <x v="56"/>
  </r>
  <r>
    <n v="1686"/>
    <x v="80"/>
    <x v="1"/>
    <x v="185"/>
    <n v="-40"/>
    <x v="0"/>
    <x v="4"/>
    <x v="2"/>
    <x v="56"/>
  </r>
  <r>
    <n v="1687"/>
    <x v="80"/>
    <x v="0"/>
    <x v="190"/>
    <n v="40"/>
    <x v="0"/>
    <x v="4"/>
    <x v="2"/>
    <x v="56"/>
  </r>
  <r>
    <n v="1688"/>
    <x v="80"/>
    <x v="1"/>
    <x v="101"/>
    <n v="-54"/>
    <x v="0"/>
    <x v="4"/>
    <x v="2"/>
    <x v="56"/>
  </r>
  <r>
    <n v="1689"/>
    <x v="80"/>
    <x v="0"/>
    <x v="142"/>
    <n v="54"/>
    <x v="0"/>
    <x v="4"/>
    <x v="2"/>
    <x v="56"/>
  </r>
  <r>
    <n v="1690"/>
    <x v="80"/>
    <x v="1"/>
    <x v="150"/>
    <n v="-24"/>
    <x v="0"/>
    <x v="4"/>
    <x v="2"/>
    <x v="56"/>
  </r>
  <r>
    <n v="1691"/>
    <x v="80"/>
    <x v="0"/>
    <x v="166"/>
    <n v="24"/>
    <x v="0"/>
    <x v="4"/>
    <x v="2"/>
    <x v="56"/>
  </r>
  <r>
    <n v="1692"/>
    <x v="80"/>
    <x v="1"/>
    <x v="153"/>
    <n v="-12"/>
    <x v="0"/>
    <x v="4"/>
    <x v="2"/>
    <x v="56"/>
  </r>
  <r>
    <n v="1693"/>
    <x v="80"/>
    <x v="0"/>
    <x v="167"/>
    <n v="12"/>
    <x v="0"/>
    <x v="4"/>
    <x v="2"/>
    <x v="56"/>
  </r>
  <r>
    <n v="1694"/>
    <x v="81"/>
    <x v="0"/>
    <x v="85"/>
    <n v="36"/>
    <x v="0"/>
    <x v="2"/>
    <x v="0"/>
    <x v="57"/>
  </r>
  <r>
    <n v="1695"/>
    <x v="81"/>
    <x v="0"/>
    <x v="76"/>
    <n v="27"/>
    <x v="0"/>
    <x v="2"/>
    <x v="0"/>
    <x v="57"/>
  </r>
  <r>
    <n v="1696"/>
    <x v="81"/>
    <x v="0"/>
    <x v="77"/>
    <n v="84"/>
    <x v="0"/>
    <x v="2"/>
    <x v="0"/>
    <x v="57"/>
  </r>
  <r>
    <n v="1697"/>
    <x v="81"/>
    <x v="0"/>
    <x v="64"/>
    <n v="50"/>
    <x v="0"/>
    <x v="2"/>
    <x v="0"/>
    <x v="57"/>
  </r>
  <r>
    <n v="1698"/>
    <x v="81"/>
    <x v="0"/>
    <x v="89"/>
    <n v="66"/>
    <x v="0"/>
    <x v="2"/>
    <x v="0"/>
    <x v="57"/>
  </r>
  <r>
    <n v="1699"/>
    <x v="81"/>
    <x v="0"/>
    <x v="75"/>
    <n v="54"/>
    <x v="0"/>
    <x v="2"/>
    <x v="0"/>
    <x v="57"/>
  </r>
  <r>
    <n v="1700"/>
    <x v="81"/>
    <x v="0"/>
    <x v="90"/>
    <n v="21"/>
    <x v="0"/>
    <x v="2"/>
    <x v="0"/>
    <x v="57"/>
  </r>
  <r>
    <n v="1701"/>
    <x v="81"/>
    <x v="0"/>
    <x v="68"/>
    <n v="20"/>
    <x v="0"/>
    <x v="2"/>
    <x v="0"/>
    <x v="57"/>
  </r>
  <r>
    <n v="1702"/>
    <x v="81"/>
    <x v="0"/>
    <x v="69"/>
    <n v="8"/>
    <x v="0"/>
    <x v="2"/>
    <x v="0"/>
    <x v="57"/>
  </r>
  <r>
    <n v="1703"/>
    <x v="81"/>
    <x v="0"/>
    <x v="70"/>
    <n v="16"/>
    <x v="0"/>
    <x v="2"/>
    <x v="0"/>
    <x v="57"/>
  </r>
  <r>
    <n v="1704"/>
    <x v="81"/>
    <x v="0"/>
    <x v="71"/>
    <n v="8"/>
    <x v="0"/>
    <x v="2"/>
    <x v="0"/>
    <x v="57"/>
  </r>
  <r>
    <n v="1705"/>
    <x v="81"/>
    <x v="0"/>
    <x v="73"/>
    <n v="44"/>
    <x v="0"/>
    <x v="2"/>
    <x v="0"/>
    <x v="57"/>
  </r>
  <r>
    <n v="1706"/>
    <x v="81"/>
    <x v="0"/>
    <x v="74"/>
    <n v="44"/>
    <x v="0"/>
    <x v="2"/>
    <x v="0"/>
    <x v="57"/>
  </r>
  <r>
    <n v="1707"/>
    <x v="81"/>
    <x v="0"/>
    <x v="104"/>
    <n v="20"/>
    <x v="0"/>
    <x v="2"/>
    <x v="0"/>
    <x v="57"/>
  </r>
  <r>
    <n v="1708"/>
    <x v="81"/>
    <x v="0"/>
    <x v="83"/>
    <n v="12"/>
    <x v="0"/>
    <x v="2"/>
    <x v="0"/>
    <x v="57"/>
  </r>
  <r>
    <n v="1709"/>
    <x v="81"/>
    <x v="0"/>
    <x v="78"/>
    <n v="40"/>
    <x v="0"/>
    <x v="2"/>
    <x v="0"/>
    <x v="57"/>
  </r>
  <r>
    <n v="1710"/>
    <x v="81"/>
    <x v="0"/>
    <x v="79"/>
    <n v="30"/>
    <x v="0"/>
    <x v="2"/>
    <x v="0"/>
    <x v="57"/>
  </r>
  <r>
    <n v="1711"/>
    <x v="81"/>
    <x v="0"/>
    <x v="49"/>
    <n v="45"/>
    <x v="0"/>
    <x v="2"/>
    <x v="0"/>
    <x v="57"/>
  </r>
  <r>
    <n v="1712"/>
    <x v="81"/>
    <x v="0"/>
    <x v="50"/>
    <n v="36"/>
    <x v="0"/>
    <x v="2"/>
    <x v="0"/>
    <x v="57"/>
  </r>
  <r>
    <n v="1713"/>
    <x v="81"/>
    <x v="0"/>
    <x v="51"/>
    <n v="27"/>
    <x v="0"/>
    <x v="2"/>
    <x v="0"/>
    <x v="57"/>
  </r>
  <r>
    <n v="1714"/>
    <x v="81"/>
    <x v="0"/>
    <x v="63"/>
    <n v="80"/>
    <x v="0"/>
    <x v="2"/>
    <x v="0"/>
    <x v="57"/>
  </r>
  <r>
    <n v="1715"/>
    <x v="81"/>
    <x v="0"/>
    <x v="53"/>
    <n v="144"/>
    <x v="0"/>
    <x v="2"/>
    <x v="0"/>
    <x v="57"/>
  </r>
  <r>
    <n v="1716"/>
    <x v="81"/>
    <x v="0"/>
    <x v="54"/>
    <n v="120"/>
    <x v="0"/>
    <x v="2"/>
    <x v="0"/>
    <x v="57"/>
  </r>
  <r>
    <n v="1717"/>
    <x v="81"/>
    <x v="0"/>
    <x v="81"/>
    <n v="448"/>
    <x v="0"/>
    <x v="2"/>
    <x v="0"/>
    <x v="57"/>
  </r>
  <r>
    <n v="1718"/>
    <x v="81"/>
    <x v="0"/>
    <x v="94"/>
    <n v="192"/>
    <x v="0"/>
    <x v="2"/>
    <x v="0"/>
    <x v="57"/>
  </r>
  <r>
    <n v="1719"/>
    <x v="81"/>
    <x v="0"/>
    <x v="183"/>
    <n v="32"/>
    <x v="0"/>
    <x v="2"/>
    <x v="0"/>
    <x v="57"/>
  </r>
  <r>
    <n v="1720"/>
    <x v="81"/>
    <x v="0"/>
    <x v="100"/>
    <n v="18"/>
    <x v="0"/>
    <x v="2"/>
    <x v="0"/>
    <x v="57"/>
  </r>
  <r>
    <n v="1721"/>
    <x v="81"/>
    <x v="0"/>
    <x v="185"/>
    <n v="40"/>
    <x v="0"/>
    <x v="2"/>
    <x v="0"/>
    <x v="57"/>
  </r>
  <r>
    <n v="1722"/>
    <x v="81"/>
    <x v="0"/>
    <x v="101"/>
    <n v="27"/>
    <x v="0"/>
    <x v="2"/>
    <x v="0"/>
    <x v="57"/>
  </r>
  <r>
    <n v="1723"/>
    <x v="81"/>
    <x v="0"/>
    <x v="150"/>
    <n v="48"/>
    <x v="0"/>
    <x v="2"/>
    <x v="0"/>
    <x v="57"/>
  </r>
  <r>
    <n v="1724"/>
    <x v="81"/>
    <x v="0"/>
    <x v="153"/>
    <n v="12"/>
    <x v="0"/>
    <x v="2"/>
    <x v="0"/>
    <x v="57"/>
  </r>
  <r>
    <n v="1725"/>
    <x v="81"/>
    <x v="0"/>
    <x v="151"/>
    <n v="100"/>
    <x v="0"/>
    <x v="2"/>
    <x v="0"/>
    <x v="57"/>
  </r>
  <r>
    <n v="1726"/>
    <x v="82"/>
    <x v="0"/>
    <x v="82"/>
    <n v="8"/>
    <x v="0"/>
    <x v="3"/>
    <x v="0"/>
    <x v="58"/>
  </r>
  <r>
    <n v="1727"/>
    <x v="80"/>
    <x v="0"/>
    <x v="76"/>
    <n v="54"/>
    <x v="0"/>
    <x v="2"/>
    <x v="0"/>
    <x v="59"/>
  </r>
  <r>
    <n v="1728"/>
    <x v="80"/>
    <x v="0"/>
    <x v="77"/>
    <n v="63"/>
    <x v="0"/>
    <x v="2"/>
    <x v="0"/>
    <x v="59"/>
  </r>
  <r>
    <n v="1729"/>
    <x v="80"/>
    <x v="0"/>
    <x v="65"/>
    <n v="30"/>
    <x v="0"/>
    <x v="2"/>
    <x v="0"/>
    <x v="59"/>
  </r>
  <r>
    <n v="1730"/>
    <x v="80"/>
    <x v="0"/>
    <x v="75"/>
    <n v="108"/>
    <x v="0"/>
    <x v="2"/>
    <x v="0"/>
    <x v="59"/>
  </r>
  <r>
    <n v="1731"/>
    <x v="80"/>
    <x v="0"/>
    <x v="90"/>
    <n v="21"/>
    <x v="0"/>
    <x v="2"/>
    <x v="0"/>
    <x v="59"/>
  </r>
  <r>
    <n v="1732"/>
    <x v="80"/>
    <x v="0"/>
    <x v="68"/>
    <n v="30"/>
    <x v="0"/>
    <x v="2"/>
    <x v="0"/>
    <x v="59"/>
  </r>
  <r>
    <n v="1733"/>
    <x v="80"/>
    <x v="0"/>
    <x v="69"/>
    <n v="8"/>
    <x v="0"/>
    <x v="2"/>
    <x v="0"/>
    <x v="59"/>
  </r>
  <r>
    <n v="1734"/>
    <x v="80"/>
    <x v="0"/>
    <x v="70"/>
    <n v="8"/>
    <x v="0"/>
    <x v="2"/>
    <x v="0"/>
    <x v="59"/>
  </r>
  <r>
    <n v="1735"/>
    <x v="80"/>
    <x v="0"/>
    <x v="71"/>
    <n v="16"/>
    <x v="0"/>
    <x v="2"/>
    <x v="0"/>
    <x v="59"/>
  </r>
  <r>
    <n v="1736"/>
    <x v="80"/>
    <x v="0"/>
    <x v="72"/>
    <n v="99"/>
    <x v="0"/>
    <x v="2"/>
    <x v="0"/>
    <x v="59"/>
  </r>
  <r>
    <n v="1737"/>
    <x v="80"/>
    <x v="0"/>
    <x v="73"/>
    <n v="44"/>
    <x v="0"/>
    <x v="2"/>
    <x v="0"/>
    <x v="59"/>
  </r>
  <r>
    <n v="1738"/>
    <x v="80"/>
    <x v="0"/>
    <x v="74"/>
    <n v="44"/>
    <x v="0"/>
    <x v="2"/>
    <x v="0"/>
    <x v="59"/>
  </r>
  <r>
    <n v="1739"/>
    <x v="80"/>
    <x v="0"/>
    <x v="83"/>
    <n v="12"/>
    <x v="0"/>
    <x v="2"/>
    <x v="0"/>
    <x v="59"/>
  </r>
  <r>
    <n v="1740"/>
    <x v="80"/>
    <x v="0"/>
    <x v="84"/>
    <n v="12"/>
    <x v="0"/>
    <x v="2"/>
    <x v="0"/>
    <x v="59"/>
  </r>
  <r>
    <n v="1741"/>
    <x v="80"/>
    <x v="0"/>
    <x v="78"/>
    <n v="80"/>
    <x v="0"/>
    <x v="2"/>
    <x v="0"/>
    <x v="59"/>
  </r>
  <r>
    <n v="1742"/>
    <x v="80"/>
    <x v="0"/>
    <x v="49"/>
    <n v="45"/>
    <x v="0"/>
    <x v="2"/>
    <x v="0"/>
    <x v="59"/>
  </r>
  <r>
    <n v="1743"/>
    <x v="80"/>
    <x v="0"/>
    <x v="50"/>
    <n v="108"/>
    <x v="0"/>
    <x v="2"/>
    <x v="0"/>
    <x v="59"/>
  </r>
  <r>
    <n v="1744"/>
    <x v="80"/>
    <x v="0"/>
    <x v="51"/>
    <n v="81"/>
    <x v="0"/>
    <x v="2"/>
    <x v="0"/>
    <x v="59"/>
  </r>
  <r>
    <n v="1745"/>
    <x v="80"/>
    <x v="0"/>
    <x v="52"/>
    <n v="30"/>
    <x v="0"/>
    <x v="2"/>
    <x v="0"/>
    <x v="59"/>
  </r>
  <r>
    <n v="1746"/>
    <x v="80"/>
    <x v="0"/>
    <x v="53"/>
    <n v="240"/>
    <x v="0"/>
    <x v="2"/>
    <x v="0"/>
    <x v="59"/>
  </r>
  <r>
    <n v="1747"/>
    <x v="80"/>
    <x v="0"/>
    <x v="168"/>
    <n v="48"/>
    <x v="0"/>
    <x v="2"/>
    <x v="0"/>
    <x v="59"/>
  </r>
  <r>
    <n v="1748"/>
    <x v="80"/>
    <x v="0"/>
    <x v="81"/>
    <n v="256"/>
    <x v="0"/>
    <x v="2"/>
    <x v="0"/>
    <x v="59"/>
  </r>
  <r>
    <n v="1749"/>
    <x v="80"/>
    <x v="0"/>
    <x v="94"/>
    <n v="144"/>
    <x v="0"/>
    <x v="2"/>
    <x v="0"/>
    <x v="59"/>
  </r>
  <r>
    <n v="1750"/>
    <x v="80"/>
    <x v="0"/>
    <x v="170"/>
    <n v="96"/>
    <x v="0"/>
    <x v="2"/>
    <x v="0"/>
    <x v="59"/>
  </r>
  <r>
    <n v="1751"/>
    <x v="80"/>
    <x v="0"/>
    <x v="184"/>
    <n v="32"/>
    <x v="0"/>
    <x v="2"/>
    <x v="0"/>
    <x v="59"/>
  </r>
  <r>
    <n v="1752"/>
    <x v="80"/>
    <x v="0"/>
    <x v="101"/>
    <n v="54"/>
    <x v="0"/>
    <x v="2"/>
    <x v="0"/>
    <x v="59"/>
  </r>
  <r>
    <n v="1753"/>
    <x v="83"/>
    <x v="0"/>
    <x v="88"/>
    <n v="84"/>
    <x v="0"/>
    <x v="2"/>
    <x v="0"/>
    <x v="60"/>
  </r>
  <r>
    <n v="1754"/>
    <x v="83"/>
    <x v="0"/>
    <x v="62"/>
    <n v="16"/>
    <x v="0"/>
    <x v="2"/>
    <x v="0"/>
    <x v="60"/>
  </r>
  <r>
    <n v="1755"/>
    <x v="83"/>
    <x v="0"/>
    <x v="82"/>
    <n v="16"/>
    <x v="0"/>
    <x v="2"/>
    <x v="0"/>
    <x v="60"/>
  </r>
  <r>
    <n v="1756"/>
    <x v="83"/>
    <x v="0"/>
    <x v="49"/>
    <n v="90"/>
    <x v="0"/>
    <x v="2"/>
    <x v="0"/>
    <x v="60"/>
  </r>
  <r>
    <n v="1757"/>
    <x v="83"/>
    <x v="0"/>
    <x v="93"/>
    <n v="128"/>
    <x v="0"/>
    <x v="2"/>
    <x v="0"/>
    <x v="60"/>
  </r>
  <r>
    <n v="1758"/>
    <x v="83"/>
    <x v="0"/>
    <x v="57"/>
    <n v="576"/>
    <x v="0"/>
    <x v="2"/>
    <x v="0"/>
    <x v="60"/>
  </r>
  <r>
    <n v="1759"/>
    <x v="83"/>
    <x v="0"/>
    <x v="95"/>
    <n v="96"/>
    <x v="0"/>
    <x v="2"/>
    <x v="0"/>
    <x v="60"/>
  </r>
  <r>
    <n v="1760"/>
    <x v="83"/>
    <x v="0"/>
    <x v="58"/>
    <n v="336"/>
    <x v="0"/>
    <x v="2"/>
    <x v="0"/>
    <x v="60"/>
  </r>
  <r>
    <n v="1761"/>
    <x v="83"/>
    <x v="0"/>
    <x v="96"/>
    <n v="126"/>
    <x v="0"/>
    <x v="2"/>
    <x v="0"/>
    <x v="60"/>
  </r>
  <r>
    <n v="1762"/>
    <x v="83"/>
    <x v="0"/>
    <x v="97"/>
    <n v="108"/>
    <x v="0"/>
    <x v="2"/>
    <x v="0"/>
    <x v="60"/>
  </r>
  <r>
    <n v="1763"/>
    <x v="83"/>
    <x v="0"/>
    <x v="98"/>
    <n v="18"/>
    <x v="0"/>
    <x v="2"/>
    <x v="0"/>
    <x v="60"/>
  </r>
  <r>
    <n v="1764"/>
    <x v="83"/>
    <x v="0"/>
    <x v="59"/>
    <n v="270"/>
    <x v="0"/>
    <x v="2"/>
    <x v="0"/>
    <x v="60"/>
  </r>
  <r>
    <n v="1765"/>
    <x v="83"/>
    <x v="0"/>
    <x v="152"/>
    <n v="54"/>
    <x v="0"/>
    <x v="2"/>
    <x v="0"/>
    <x v="60"/>
  </r>
  <r>
    <n v="1766"/>
    <x v="83"/>
    <x v="0"/>
    <x v="149"/>
    <n v="2000"/>
    <x v="0"/>
    <x v="2"/>
    <x v="0"/>
    <x v="60"/>
  </r>
  <r>
    <n v="1767"/>
    <x v="84"/>
    <x v="1"/>
    <x v="78"/>
    <n v="-40"/>
    <x v="0"/>
    <x v="4"/>
    <x v="4"/>
    <x v="61"/>
  </r>
  <r>
    <n v="1768"/>
    <x v="84"/>
    <x v="0"/>
    <x v="78"/>
    <n v="40"/>
    <x v="0"/>
    <x v="4"/>
    <x v="4"/>
    <x v="61"/>
  </r>
  <r>
    <n v="1769"/>
    <x v="85"/>
    <x v="0"/>
    <x v="75"/>
    <n v="216"/>
    <x v="0"/>
    <x v="2"/>
    <x v="0"/>
    <x v="62"/>
  </r>
  <r>
    <n v="1770"/>
    <x v="85"/>
    <x v="0"/>
    <x v="90"/>
    <n v="147"/>
    <x v="0"/>
    <x v="2"/>
    <x v="0"/>
    <x v="62"/>
  </r>
  <r>
    <n v="1771"/>
    <x v="85"/>
    <x v="0"/>
    <x v="69"/>
    <n v="24"/>
    <x v="0"/>
    <x v="2"/>
    <x v="0"/>
    <x v="62"/>
  </r>
  <r>
    <n v="1772"/>
    <x v="85"/>
    <x v="0"/>
    <x v="71"/>
    <n v="8"/>
    <x v="0"/>
    <x v="2"/>
    <x v="0"/>
    <x v="62"/>
  </r>
  <r>
    <n v="1773"/>
    <x v="85"/>
    <x v="0"/>
    <x v="105"/>
    <n v="20"/>
    <x v="0"/>
    <x v="2"/>
    <x v="0"/>
    <x v="62"/>
  </r>
  <r>
    <n v="1774"/>
    <x v="85"/>
    <x v="0"/>
    <x v="78"/>
    <n v="120"/>
    <x v="0"/>
    <x v="2"/>
    <x v="0"/>
    <x v="62"/>
  </r>
  <r>
    <n v="1775"/>
    <x v="85"/>
    <x v="0"/>
    <x v="79"/>
    <n v="30"/>
    <x v="0"/>
    <x v="2"/>
    <x v="0"/>
    <x v="62"/>
  </r>
  <r>
    <n v="1776"/>
    <x v="85"/>
    <x v="0"/>
    <x v="49"/>
    <n v="270"/>
    <x v="0"/>
    <x v="2"/>
    <x v="0"/>
    <x v="62"/>
  </r>
  <r>
    <n v="1777"/>
    <x v="85"/>
    <x v="0"/>
    <x v="53"/>
    <n v="192"/>
    <x v="0"/>
    <x v="2"/>
    <x v="0"/>
    <x v="62"/>
  </r>
  <r>
    <n v="1778"/>
    <x v="85"/>
    <x v="0"/>
    <x v="81"/>
    <n v="576"/>
    <x v="0"/>
    <x v="2"/>
    <x v="0"/>
    <x v="62"/>
  </r>
  <r>
    <n v="1779"/>
    <x v="85"/>
    <x v="0"/>
    <x v="94"/>
    <n v="96"/>
    <x v="0"/>
    <x v="2"/>
    <x v="0"/>
    <x v="62"/>
  </r>
  <r>
    <n v="1780"/>
    <x v="85"/>
    <x v="0"/>
    <x v="150"/>
    <n v="120"/>
    <x v="0"/>
    <x v="2"/>
    <x v="0"/>
    <x v="62"/>
  </r>
  <r>
    <n v="1781"/>
    <x v="85"/>
    <x v="0"/>
    <x v="153"/>
    <n v="60"/>
    <x v="0"/>
    <x v="2"/>
    <x v="0"/>
    <x v="62"/>
  </r>
  <r>
    <n v="1782"/>
    <x v="86"/>
    <x v="0"/>
    <x v="66"/>
    <n v="3"/>
    <x v="0"/>
    <x v="2"/>
    <x v="0"/>
    <x v="63"/>
  </r>
  <r>
    <n v="1783"/>
    <x v="86"/>
    <x v="0"/>
    <x v="88"/>
    <n v="84"/>
    <x v="0"/>
    <x v="2"/>
    <x v="0"/>
    <x v="63"/>
  </r>
  <r>
    <n v="1784"/>
    <x v="86"/>
    <x v="0"/>
    <x v="61"/>
    <n v="36"/>
    <x v="0"/>
    <x v="2"/>
    <x v="0"/>
    <x v="63"/>
  </r>
  <r>
    <n v="1785"/>
    <x v="86"/>
    <x v="0"/>
    <x v="62"/>
    <n v="16"/>
    <x v="0"/>
    <x v="2"/>
    <x v="0"/>
    <x v="63"/>
  </r>
  <r>
    <n v="1786"/>
    <x v="86"/>
    <x v="0"/>
    <x v="49"/>
    <n v="225"/>
    <x v="0"/>
    <x v="2"/>
    <x v="0"/>
    <x v="63"/>
  </r>
  <r>
    <n v="1787"/>
    <x v="86"/>
    <x v="0"/>
    <x v="51"/>
    <n v="54"/>
    <x v="0"/>
    <x v="2"/>
    <x v="0"/>
    <x v="63"/>
  </r>
  <r>
    <n v="1788"/>
    <x v="86"/>
    <x v="0"/>
    <x v="93"/>
    <n v="128"/>
    <x v="0"/>
    <x v="2"/>
    <x v="0"/>
    <x v="63"/>
  </r>
  <r>
    <n v="1789"/>
    <x v="86"/>
    <x v="0"/>
    <x v="57"/>
    <n v="768"/>
    <x v="0"/>
    <x v="2"/>
    <x v="0"/>
    <x v="63"/>
  </r>
  <r>
    <n v="1790"/>
    <x v="86"/>
    <x v="0"/>
    <x v="95"/>
    <n v="288"/>
    <x v="0"/>
    <x v="2"/>
    <x v="0"/>
    <x v="63"/>
  </r>
  <r>
    <n v="1791"/>
    <x v="86"/>
    <x v="0"/>
    <x v="58"/>
    <n v="432"/>
    <x v="0"/>
    <x v="2"/>
    <x v="0"/>
    <x v="63"/>
  </r>
  <r>
    <n v="1792"/>
    <x v="86"/>
    <x v="0"/>
    <x v="96"/>
    <n v="126"/>
    <x v="0"/>
    <x v="2"/>
    <x v="0"/>
    <x v="63"/>
  </r>
  <r>
    <n v="1793"/>
    <x v="86"/>
    <x v="0"/>
    <x v="97"/>
    <n v="90"/>
    <x v="0"/>
    <x v="2"/>
    <x v="0"/>
    <x v="63"/>
  </r>
  <r>
    <n v="1794"/>
    <x v="86"/>
    <x v="0"/>
    <x v="98"/>
    <n v="18"/>
    <x v="0"/>
    <x v="2"/>
    <x v="0"/>
    <x v="63"/>
  </r>
  <r>
    <n v="1795"/>
    <x v="86"/>
    <x v="0"/>
    <x v="152"/>
    <n v="18"/>
    <x v="0"/>
    <x v="2"/>
    <x v="0"/>
    <x v="63"/>
  </r>
  <r>
    <n v="1796"/>
    <x v="86"/>
    <x v="0"/>
    <x v="99"/>
    <n v="30"/>
    <x v="0"/>
    <x v="2"/>
    <x v="0"/>
    <x v="63"/>
  </r>
  <r>
    <n v="1797"/>
    <x v="86"/>
    <x v="0"/>
    <x v="188"/>
    <n v="15"/>
    <x v="0"/>
    <x v="2"/>
    <x v="0"/>
    <x v="63"/>
  </r>
  <r>
    <n v="1798"/>
    <x v="86"/>
    <x v="0"/>
    <x v="149"/>
    <n v="2000"/>
    <x v="0"/>
    <x v="2"/>
    <x v="0"/>
    <x v="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2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compact="0" compactData="0" multipleFieldFilters="0" chartFormat="1" fieldListSortAscending="1">
  <location ref="A3:BK80" firstHeaderRow="1" firstDataRow="5" firstDataCol="1" rowPageCount="1" colPageCount="1"/>
  <pivotFields count="9">
    <pivotField compact="0" outline="0" showAll="0"/>
    <pivotField axis="axisCol" compact="0" outline="0" showAll="0" defaultSubtotal="0">
      <items count="87">
        <item x="0"/>
        <item x="2"/>
        <item x="1"/>
        <item x="3"/>
        <item x="4"/>
        <item x="5"/>
        <item x="6"/>
        <item x="7"/>
        <item x="8"/>
        <item x="9"/>
        <item x="12"/>
        <item x="13"/>
        <item x="14"/>
        <item x="10"/>
        <item x="15"/>
        <item x="16"/>
        <item x="17"/>
        <item x="18"/>
        <item x="19"/>
        <item x="1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9"/>
        <item x="33"/>
        <item x="34"/>
        <item x="38"/>
        <item x="35"/>
        <item x="36"/>
        <item x="37"/>
        <item x="40"/>
        <item x="41"/>
        <item x="42"/>
        <item x="43"/>
        <item x="47"/>
        <item x="44"/>
        <item x="46"/>
        <item x="45"/>
        <item x="48"/>
        <item x="49"/>
        <item x="50"/>
        <item x="51"/>
        <item x="52"/>
        <item x="53"/>
        <item x="54"/>
        <item x="56"/>
        <item x="55"/>
        <item x="57"/>
        <item x="58"/>
        <item x="59"/>
        <item x="69"/>
        <item x="68"/>
        <item x="60"/>
        <item x="61"/>
        <item x="62"/>
        <item x="63"/>
        <item x="64"/>
        <item x="65"/>
        <item x="66"/>
        <item x="67"/>
        <item x="71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axis="axisPage" compact="0" outline="0" multipleItemSelectionAllowed="1" showAll="0">
      <items count="3">
        <item h="1" x="1"/>
        <item x="0"/>
        <item t="default"/>
      </items>
    </pivotField>
    <pivotField axis="axisRow" compact="0" outline="0" showAll="0" sortType="ascending">
      <items count="192">
        <item x="20"/>
        <item x="21"/>
        <item x="22"/>
        <item x="23"/>
        <item x="24"/>
        <item x="28"/>
        <item x="26"/>
        <item x="27"/>
        <item x="25"/>
        <item x="29"/>
        <item x="0"/>
        <item x="1"/>
        <item x="2"/>
        <item x="3"/>
        <item x="4"/>
        <item x="5"/>
        <item x="6"/>
        <item x="7"/>
        <item x="8"/>
        <item x="9"/>
        <item x="30"/>
        <item x="31"/>
        <item x="32"/>
        <item x="85"/>
        <item x="76"/>
        <item x="77"/>
        <item x="64"/>
        <item x="65"/>
        <item x="66"/>
        <item x="67"/>
        <item x="86"/>
        <item x="87"/>
        <item x="60"/>
        <item x="88"/>
        <item x="61"/>
        <item x="55"/>
        <item x="62"/>
        <item x="89"/>
        <item x="75"/>
        <item x="90"/>
        <item x="68"/>
        <item x="69"/>
        <item x="70"/>
        <item x="71"/>
        <item x="72"/>
        <item x="73"/>
        <item x="74"/>
        <item x="103"/>
        <item x="104"/>
        <item x="105"/>
        <item x="82"/>
        <item x="83"/>
        <item x="84"/>
        <item x="91"/>
        <item x="92"/>
        <item x="78"/>
        <item x="79"/>
        <item x="80"/>
        <item x="49"/>
        <item x="50"/>
        <item x="51"/>
        <item x="56"/>
        <item x="52"/>
        <item x="63"/>
        <item x="53"/>
        <item x="54"/>
        <item x="168"/>
        <item x="169"/>
        <item x="93"/>
        <item x="81"/>
        <item x="94"/>
        <item x="57"/>
        <item x="95"/>
        <item x="58"/>
        <item x="96"/>
        <item x="97"/>
        <item x="98"/>
        <item x="170"/>
        <item x="183"/>
        <item x="184"/>
        <item x="59"/>
        <item x="152"/>
        <item x="99"/>
        <item x="100"/>
        <item x="185"/>
        <item x="101"/>
        <item x="150"/>
        <item x="153"/>
        <item x="151"/>
        <item x="154"/>
        <item x="186"/>
        <item x="187"/>
        <item x="188"/>
        <item x="149"/>
        <item x="102"/>
        <item x="10"/>
        <item x="11"/>
        <item x="12"/>
        <item x="13"/>
        <item x="14"/>
        <item x="15"/>
        <item x="16"/>
        <item x="17"/>
        <item x="18"/>
        <item x="19"/>
        <item x="33"/>
        <item x="34"/>
        <item x="35"/>
        <item x="131"/>
        <item x="132"/>
        <item x="133"/>
        <item x="106"/>
        <item x="107"/>
        <item x="108"/>
        <item x="109"/>
        <item x="143"/>
        <item x="134"/>
        <item x="135"/>
        <item x="144"/>
        <item x="110"/>
        <item x="111"/>
        <item x="112"/>
        <item x="136"/>
        <item x="155"/>
        <item x="137"/>
        <item x="113"/>
        <item x="114"/>
        <item x="115"/>
        <item x="116"/>
        <item x="138"/>
        <item x="139"/>
        <item x="140"/>
        <item x="171"/>
        <item x="156"/>
        <item x="157"/>
        <item x="172"/>
        <item x="173"/>
        <item x="145"/>
        <item x="146"/>
        <item x="147"/>
        <item x="158"/>
        <item x="159"/>
        <item x="141"/>
        <item x="117"/>
        <item x="118"/>
        <item x="119"/>
        <item x="120"/>
        <item x="121"/>
        <item x="122"/>
        <item x="123"/>
        <item x="124"/>
        <item x="174"/>
        <item x="175"/>
        <item x="160"/>
        <item x="161"/>
        <item x="162"/>
        <item x="125"/>
        <item x="163"/>
        <item x="126"/>
        <item x="148"/>
        <item x="164"/>
        <item x="176"/>
        <item x="177"/>
        <item x="189"/>
        <item x="127"/>
        <item x="178"/>
        <item x="165"/>
        <item x="179"/>
        <item x="190"/>
        <item x="142"/>
        <item x="166"/>
        <item x="167"/>
        <item x="180"/>
        <item x="181"/>
        <item x="182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128"/>
        <item x="129"/>
        <item x="130"/>
        <item t="default"/>
      </items>
    </pivotField>
    <pivotField dataField="1" compact="0" outline="0" showAll="0"/>
    <pivotField compact="0" outline="0" showAll="0"/>
    <pivotField axis="axisCol" compact="0" outline="0" showAll="0" defaultSubtotal="0">
      <items count="6">
        <item h="1" x="0"/>
        <item h="1" x="4"/>
        <item x="2"/>
        <item h="1" x="3"/>
        <item h="1" x="1"/>
        <item h="1" x="5"/>
      </items>
    </pivotField>
    <pivotField axis="axisCol" compact="0" outline="0" showAll="0" defaultSubtotal="0">
      <items count="5">
        <item h="1" x="3"/>
        <item h="1" x="2"/>
        <item x="0"/>
        <item h="1" x="1"/>
        <item h="1" x="4"/>
      </items>
    </pivotField>
    <pivotField axis="axisCol" compact="0" outline="0" showAll="0" defaultSubtotal="0">
      <items count="71">
        <item x="27"/>
        <item x="0"/>
        <item m="1" x="64"/>
        <item x="2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30"/>
        <item x="31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66"/>
        <item m="1" x="69"/>
        <item m="1" x="68"/>
        <item m="1" x="67"/>
        <item m="1" x="70"/>
        <item m="1" x="65"/>
        <item x="54"/>
        <item x="55"/>
        <item x="56"/>
        <item x="57"/>
        <item x="58"/>
        <item x="59"/>
        <item x="60"/>
        <item x="61"/>
        <item x="62"/>
        <item x="63"/>
      </items>
    </pivotField>
  </pivotFields>
  <rowFields count="1">
    <field x="3"/>
  </rowFields>
  <rowItems count="7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4">
    <field x="1"/>
    <field x="8"/>
    <field x="6"/>
    <field x="7"/>
  </colFields>
  <colItems count="62">
    <i>
      <x v="44"/>
      <x v="1"/>
      <x v="2"/>
      <x v="2"/>
    </i>
    <i>
      <x v="47"/>
      <x v="1"/>
      <x v="2"/>
      <x v="2"/>
    </i>
    <i>
      <x v="48"/>
      <x v="1"/>
      <x v="2"/>
      <x v="2"/>
    </i>
    <i>
      <x v="49"/>
      <x v="1"/>
      <x v="2"/>
      <x v="2"/>
    </i>
    <i>
      <x v="50"/>
      <x v="1"/>
      <x v="2"/>
      <x v="2"/>
    </i>
    <i>
      <x v="51"/>
      <x v="1"/>
      <x v="2"/>
      <x v="2"/>
    </i>
    <i>
      <x v="52"/>
      <x v="1"/>
      <x v="2"/>
      <x v="2"/>
    </i>
    <i>
      <x v="53"/>
      <x v="24"/>
      <x v="2"/>
      <x v="2"/>
    </i>
    <i>
      <x v="54"/>
      <x v="25"/>
      <x v="2"/>
      <x v="2"/>
    </i>
    <i r="1">
      <x v="26"/>
      <x v="2"/>
      <x v="2"/>
    </i>
    <i>
      <x v="56"/>
      <x v="27"/>
      <x v="2"/>
      <x v="2"/>
    </i>
    <i>
      <x v="57"/>
      <x v="29"/>
      <x v="2"/>
      <x v="2"/>
    </i>
    <i>
      <x v="59"/>
      <x v="31"/>
      <x v="2"/>
      <x v="2"/>
    </i>
    <i r="1">
      <x v="32"/>
      <x v="2"/>
      <x v="2"/>
    </i>
    <i>
      <x v="60"/>
      <x v="33"/>
      <x v="2"/>
      <x v="2"/>
    </i>
    <i>
      <x v="61"/>
      <x v="21"/>
      <x v="2"/>
      <x v="2"/>
    </i>
    <i r="1">
      <x v="22"/>
      <x v="2"/>
      <x v="2"/>
    </i>
    <i r="1">
      <x v="23"/>
      <x v="2"/>
      <x v="2"/>
    </i>
    <i>
      <x v="62"/>
      <x v="5"/>
      <x v="2"/>
      <x v="2"/>
    </i>
    <i>
      <x v="63"/>
      <x v="6"/>
      <x v="2"/>
      <x v="2"/>
    </i>
    <i>
      <x v="64"/>
      <x v="7"/>
      <x v="2"/>
      <x v="2"/>
    </i>
    <i r="1">
      <x v="8"/>
      <x v="2"/>
      <x v="2"/>
    </i>
    <i>
      <x v="65"/>
      <x v="9"/>
      <x v="2"/>
      <x v="2"/>
    </i>
    <i r="1">
      <x v="10"/>
      <x v="2"/>
      <x v="2"/>
    </i>
    <i r="1">
      <x v="11"/>
      <x v="2"/>
      <x v="2"/>
    </i>
    <i r="1">
      <x v="12"/>
      <x v="2"/>
      <x v="2"/>
    </i>
    <i r="1">
      <x v="13"/>
      <x v="2"/>
      <x v="2"/>
    </i>
    <i>
      <x v="66"/>
      <x v="14"/>
      <x v="2"/>
      <x v="2"/>
    </i>
    <i r="1">
      <x v="15"/>
      <x v="2"/>
      <x v="2"/>
    </i>
    <i>
      <x v="67"/>
      <x v="17"/>
      <x v="2"/>
      <x v="2"/>
    </i>
    <i>
      <x v="68"/>
      <x v="18"/>
      <x v="2"/>
      <x v="2"/>
    </i>
    <i r="1">
      <x v="19"/>
      <x v="2"/>
      <x v="2"/>
    </i>
    <i r="1">
      <x v="20"/>
      <x v="2"/>
      <x v="2"/>
    </i>
    <i>
      <x v="69"/>
      <x/>
      <x v="2"/>
      <x v="2"/>
    </i>
    <i r="1">
      <x v="3"/>
      <x v="2"/>
      <x v="2"/>
    </i>
    <i>
      <x v="70"/>
      <x v="39"/>
      <x v="2"/>
      <x v="2"/>
    </i>
    <i>
      <x v="71"/>
      <x v="35"/>
      <x v="2"/>
      <x v="2"/>
    </i>
    <i r="1">
      <x v="36"/>
      <x v="2"/>
      <x v="2"/>
    </i>
    <i r="1">
      <x v="37"/>
      <x v="2"/>
      <x v="2"/>
    </i>
    <i r="1">
      <x v="38"/>
      <x v="2"/>
      <x v="2"/>
    </i>
    <i>
      <x v="72"/>
      <x v="41"/>
      <x v="2"/>
      <x v="2"/>
    </i>
    <i r="1">
      <x v="42"/>
      <x v="2"/>
      <x v="2"/>
    </i>
    <i>
      <x v="73"/>
      <x v="43"/>
      <x v="2"/>
      <x v="2"/>
    </i>
    <i>
      <x v="74"/>
      <x v="44"/>
      <x v="2"/>
      <x v="2"/>
    </i>
    <i r="1">
      <x v="45"/>
      <x v="2"/>
      <x v="2"/>
    </i>
    <i r="1">
      <x v="46"/>
      <x v="2"/>
      <x v="2"/>
    </i>
    <i r="1">
      <x v="47"/>
      <x v="2"/>
      <x v="2"/>
    </i>
    <i>
      <x v="75"/>
      <x v="48"/>
      <x v="2"/>
      <x v="2"/>
    </i>
    <i r="1">
      <x v="49"/>
      <x v="2"/>
      <x v="2"/>
    </i>
    <i r="1">
      <x v="50"/>
      <x v="2"/>
      <x v="2"/>
    </i>
    <i>
      <x v="77"/>
      <x v="51"/>
      <x v="2"/>
      <x v="2"/>
    </i>
    <i r="1">
      <x v="52"/>
      <x v="2"/>
      <x v="2"/>
    </i>
    <i>
      <x v="78"/>
      <x v="53"/>
      <x v="2"/>
      <x v="2"/>
    </i>
    <i r="1">
      <x v="54"/>
      <x v="2"/>
      <x v="2"/>
    </i>
    <i>
      <x v="79"/>
      <x v="61"/>
      <x v="2"/>
      <x v="2"/>
    </i>
    <i r="1">
      <x v="62"/>
      <x v="2"/>
      <x v="2"/>
    </i>
    <i>
      <x v="80"/>
      <x v="66"/>
      <x v="2"/>
      <x v="2"/>
    </i>
    <i>
      <x v="81"/>
      <x v="64"/>
      <x v="2"/>
      <x v="2"/>
    </i>
    <i>
      <x v="83"/>
      <x v="67"/>
      <x v="2"/>
      <x v="2"/>
    </i>
    <i>
      <x v="85"/>
      <x v="69"/>
      <x v="2"/>
      <x v="2"/>
    </i>
    <i>
      <x v="86"/>
      <x v="70"/>
      <x v="2"/>
      <x v="2"/>
    </i>
    <i t="grand">
      <x/>
    </i>
  </colItems>
  <pageFields count="1">
    <pageField fld="2" hier="-1"/>
  </pageFields>
  <dataFields count="1">
    <dataField name="合計 / 数量" fld="4" baseField="0" baseItem="0"/>
  </dataFields>
  <chartFormats count="6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1"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1"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1"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1"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1"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1"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1">
          <reference field="1" count="1" selected="0">
            <x v="58"/>
          </reference>
        </references>
      </pivotArea>
    </chartFormat>
    <chartFormat chart="0" format="59" series="1">
      <pivotArea type="data" outline="0" fieldPosition="0">
        <references count="1">
          <reference field="1" count="1" selected="0">
            <x v="59"/>
          </reference>
        </references>
      </pivotArea>
    </chartFormat>
    <chartFormat chart="0" format="60" series="1">
      <pivotArea type="data" outline="0" fieldPosition="0">
        <references count="1">
          <reference field="1" count="1" selected="0">
            <x v="60"/>
          </reference>
        </references>
      </pivotArea>
    </chartFormat>
    <chartFormat chart="0" format="61" series="1">
      <pivotArea type="data" outline="0" fieldPosition="0">
        <references count="1">
          <reference field="1" count="1" selected="0">
            <x v="61"/>
          </reference>
        </references>
      </pivotArea>
    </chartFormat>
    <chartFormat chart="0" format="62" series="1">
      <pivotArea type="data" outline="0" fieldPosition="0">
        <references count="1">
          <reference field="1" count="1" selected="0">
            <x v="62"/>
          </reference>
        </references>
      </pivotArea>
    </chartFormat>
    <chartFormat chart="0" format="63" series="1">
      <pivotArea type="data" outline="0" fieldPosition="0">
        <references count="1">
          <reference field="1" count="1" selected="0">
            <x v="63"/>
          </reference>
        </references>
      </pivotArea>
    </chartFormat>
    <chartFormat chart="0" format="64" series="1">
      <pivotArea type="data" outline="0" fieldPosition="0">
        <references count="1">
          <reference field="1" count="1" selected="0">
            <x v="64"/>
          </reference>
        </references>
      </pivotArea>
    </chartFormat>
    <chartFormat chart="0" format="65" series="1">
      <pivotArea type="data" outline="0" fieldPosition="0">
        <references count="1">
          <reference field="1" count="1" selected="0">
            <x v="65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3" type="captionBetween" evalOrder="-1" id="1" stringValue1="100200" stringValue2="100300">
      <autoFilter ref="A1">
        <filterColumn colId="0">
          <customFilters and="1">
            <customFilter operator="greaterThanOrEqual" val="100200"/>
            <customFilter operator="lessThanOrEqual" val="1003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77"/>
  <sheetViews>
    <sheetView tabSelected="1" zoomScaleNormal="100" workbookViewId="0">
      <selection activeCell="H77" sqref="H77"/>
    </sheetView>
  </sheetViews>
  <sheetFormatPr defaultRowHeight="17.25" x14ac:dyDescent="0.15"/>
  <cols>
    <col min="1" max="1" width="13.125" style="3" bestFit="1" customWidth="1"/>
    <col min="2" max="2" width="14.625" style="3" bestFit="1" customWidth="1"/>
    <col min="3" max="3" width="41.875" style="2" bestFit="1" customWidth="1"/>
    <col min="4" max="4" width="21.375" style="2" bestFit="1" customWidth="1"/>
    <col min="5" max="5" width="14.625" style="3" bestFit="1" customWidth="1"/>
    <col min="6" max="6" width="13.125" style="2" bestFit="1" customWidth="1"/>
    <col min="7" max="7" width="18.875" style="4" bestFit="1" customWidth="1"/>
    <col min="8" max="8" width="12.5" style="2" customWidth="1"/>
    <col min="9" max="9" width="12.875" style="2" bestFit="1" customWidth="1"/>
    <col min="10" max="10" width="10.5" style="2" bestFit="1" customWidth="1"/>
    <col min="11" max="11" width="10.25" style="2" bestFit="1" customWidth="1"/>
    <col min="12" max="16384" width="9" style="2"/>
  </cols>
  <sheetData>
    <row r="1" spans="1:12" x14ac:dyDescent="0.15">
      <c r="A1" s="2" t="s">
        <v>51</v>
      </c>
      <c r="B1" s="17">
        <v>42521</v>
      </c>
      <c r="J1" s="2" t="s">
        <v>214</v>
      </c>
    </row>
    <row r="2" spans="1:12" ht="18" thickBot="1" x14ac:dyDescent="0.2">
      <c r="A2" s="2" t="s">
        <v>33</v>
      </c>
      <c r="B2" s="18" t="s">
        <v>6</v>
      </c>
      <c r="J2" s="2" t="s">
        <v>215</v>
      </c>
    </row>
    <row r="3" spans="1:12" ht="18" thickBot="1" x14ac:dyDescent="0.2">
      <c r="A3" s="2" t="s">
        <v>34</v>
      </c>
      <c r="B3" s="3" t="s">
        <v>61</v>
      </c>
      <c r="F3" s="26" t="s">
        <v>231</v>
      </c>
      <c r="G3" s="27">
        <v>232029</v>
      </c>
      <c r="H3" s="2" t="s">
        <v>212</v>
      </c>
      <c r="I3" s="2" t="s">
        <v>137</v>
      </c>
      <c r="J3" s="2" t="s">
        <v>216</v>
      </c>
    </row>
    <row r="4" spans="1:12" x14ac:dyDescent="0.15">
      <c r="H4" s="2" t="s">
        <v>6</v>
      </c>
      <c r="I4" s="2" t="s">
        <v>138</v>
      </c>
      <c r="J4" s="2" t="s">
        <v>217</v>
      </c>
    </row>
    <row r="5" spans="1:12" ht="24.75" customHeight="1" x14ac:dyDescent="0.15">
      <c r="A5" s="5" t="s">
        <v>42</v>
      </c>
      <c r="B5" s="6" t="s">
        <v>43</v>
      </c>
      <c r="C5" s="6" t="s">
        <v>44</v>
      </c>
      <c r="D5" s="6" t="s">
        <v>45</v>
      </c>
      <c r="E5" s="6" t="s">
        <v>46</v>
      </c>
      <c r="F5" s="6" t="s">
        <v>47</v>
      </c>
      <c r="G5" s="7" t="s">
        <v>48</v>
      </c>
      <c r="H5" s="6" t="s">
        <v>213</v>
      </c>
      <c r="I5" s="2" t="s">
        <v>136</v>
      </c>
    </row>
    <row r="6" spans="1:12" ht="24.75" customHeight="1" x14ac:dyDescent="0.15">
      <c r="A6" s="13">
        <v>100201</v>
      </c>
      <c r="B6" s="14" t="s">
        <v>60</v>
      </c>
      <c r="C6" s="9" t="s">
        <v>62</v>
      </c>
      <c r="D6" s="9" t="s">
        <v>140</v>
      </c>
      <c r="E6" s="14" t="s">
        <v>6</v>
      </c>
      <c r="F6" s="9">
        <v>20503994</v>
      </c>
      <c r="G6" s="15">
        <v>2100205039947</v>
      </c>
      <c r="H6" s="9" t="s">
        <v>286</v>
      </c>
      <c r="L6" s="20" t="str">
        <f>IFERROR(VLOOKUP(A6,二次製品納品書入力!A:C,3,FALSE),"")</f>
        <v/>
      </c>
    </row>
    <row r="7" spans="1:12" ht="24.75" customHeight="1" x14ac:dyDescent="0.15">
      <c r="A7" s="13">
        <v>100202</v>
      </c>
      <c r="B7" s="14" t="s">
        <v>60</v>
      </c>
      <c r="C7" s="9" t="s">
        <v>63</v>
      </c>
      <c r="D7" s="9" t="s">
        <v>141</v>
      </c>
      <c r="E7" s="14" t="s">
        <v>6</v>
      </c>
      <c r="F7" s="9">
        <v>20504007</v>
      </c>
      <c r="G7" s="15">
        <v>2100205040073</v>
      </c>
      <c r="H7" s="9" t="s">
        <v>286</v>
      </c>
      <c r="L7" s="20" t="str">
        <f>IFERROR(VLOOKUP(A7,二次製品納品書入力!A:C,3,FALSE),"")</f>
        <v/>
      </c>
    </row>
    <row r="8" spans="1:12" ht="24.75" customHeight="1" x14ac:dyDescent="0.15">
      <c r="A8" s="13">
        <v>100203</v>
      </c>
      <c r="B8" s="14" t="s">
        <v>60</v>
      </c>
      <c r="C8" s="9" t="s">
        <v>64</v>
      </c>
      <c r="D8" s="9" t="s">
        <v>142</v>
      </c>
      <c r="E8" s="14" t="s">
        <v>6</v>
      </c>
      <c r="F8" s="9">
        <v>20504014</v>
      </c>
      <c r="G8" s="15">
        <v>2100205040141</v>
      </c>
      <c r="H8" s="9" t="s">
        <v>286</v>
      </c>
      <c r="L8" s="20" t="str">
        <f>IFERROR(VLOOKUP(A8,二次製品納品書入力!A:C,3,FALSE),"")</f>
        <v/>
      </c>
    </row>
    <row r="9" spans="1:12" ht="24.75" customHeight="1" x14ac:dyDescent="0.15">
      <c r="A9" s="13">
        <v>100204</v>
      </c>
      <c r="B9" s="14" t="s">
        <v>60</v>
      </c>
      <c r="C9" s="9" t="s">
        <v>65</v>
      </c>
      <c r="D9" s="9" t="s">
        <v>143</v>
      </c>
      <c r="E9" s="14" t="s">
        <v>6</v>
      </c>
      <c r="F9" s="9">
        <v>20504021</v>
      </c>
      <c r="G9" s="15">
        <v>2100205040219</v>
      </c>
      <c r="H9" s="9" t="s">
        <v>286</v>
      </c>
      <c r="L9" s="20" t="str">
        <f>IFERROR(VLOOKUP(A9,二次製品納品書入力!A:C,3,FALSE),"")</f>
        <v/>
      </c>
    </row>
    <row r="10" spans="1:12" ht="24.75" customHeight="1" x14ac:dyDescent="0.15">
      <c r="A10" s="13">
        <v>100205</v>
      </c>
      <c r="B10" s="14" t="s">
        <v>60</v>
      </c>
      <c r="C10" s="9" t="s">
        <v>66</v>
      </c>
      <c r="D10" s="9" t="s">
        <v>144</v>
      </c>
      <c r="E10" s="14" t="s">
        <v>6</v>
      </c>
      <c r="F10" s="9">
        <v>20504038</v>
      </c>
      <c r="G10" s="15">
        <v>2100205040387</v>
      </c>
      <c r="H10" s="9">
        <v>10</v>
      </c>
      <c r="L10" s="20">
        <f>IFERROR(VLOOKUP(A10,二次製品納品書入力!A:C,3,FALSE),"")</f>
        <v>10</v>
      </c>
    </row>
    <row r="11" spans="1:12" ht="24.75" customHeight="1" x14ac:dyDescent="0.15">
      <c r="A11" s="13">
        <v>100206</v>
      </c>
      <c r="B11" s="14" t="s">
        <v>60</v>
      </c>
      <c r="C11" s="9" t="s">
        <v>67</v>
      </c>
      <c r="D11" s="9" t="s">
        <v>145</v>
      </c>
      <c r="E11" s="14" t="s">
        <v>6</v>
      </c>
      <c r="F11" s="9">
        <v>20504045</v>
      </c>
      <c r="G11" s="15">
        <v>2100205040455</v>
      </c>
      <c r="H11" s="9" t="s">
        <v>286</v>
      </c>
      <c r="L11" s="20" t="str">
        <f>IFERROR(VLOOKUP(A11,二次製品納品書入力!A:C,3,FALSE),"")</f>
        <v/>
      </c>
    </row>
    <row r="12" spans="1:12" ht="24.75" customHeight="1" x14ac:dyDescent="0.15">
      <c r="A12" s="13">
        <v>100207</v>
      </c>
      <c r="B12" s="14" t="s">
        <v>60</v>
      </c>
      <c r="C12" s="9" t="s">
        <v>68</v>
      </c>
      <c r="D12" s="9" t="s">
        <v>146</v>
      </c>
      <c r="E12" s="14" t="s">
        <v>6</v>
      </c>
      <c r="F12" s="9">
        <v>20504052</v>
      </c>
      <c r="G12" s="15">
        <v>2100205040523</v>
      </c>
      <c r="H12" s="9" t="s">
        <v>286</v>
      </c>
      <c r="L12" s="20" t="str">
        <f>IFERROR(VLOOKUP(A12,二次製品納品書入力!A:C,3,FALSE),"")</f>
        <v/>
      </c>
    </row>
    <row r="13" spans="1:12" ht="24.75" customHeight="1" x14ac:dyDescent="0.15">
      <c r="A13" s="13">
        <v>100208</v>
      </c>
      <c r="B13" s="14" t="s">
        <v>60</v>
      </c>
      <c r="C13" s="9" t="s">
        <v>69</v>
      </c>
      <c r="D13" s="9" t="s">
        <v>147</v>
      </c>
      <c r="E13" s="14" t="s">
        <v>6</v>
      </c>
      <c r="F13" s="9">
        <v>20504069</v>
      </c>
      <c r="G13" s="15">
        <v>2100205040691</v>
      </c>
      <c r="H13" s="9" t="s">
        <v>286</v>
      </c>
      <c r="L13" s="20" t="str">
        <f>IFERROR(VLOOKUP(A13,二次製品納品書入力!A:C,3,FALSE),"")</f>
        <v/>
      </c>
    </row>
    <row r="14" spans="1:12" ht="24.75" customHeight="1" x14ac:dyDescent="0.15">
      <c r="A14" s="13">
        <v>100209</v>
      </c>
      <c r="B14" s="14" t="s">
        <v>60</v>
      </c>
      <c r="C14" s="9" t="s">
        <v>70</v>
      </c>
      <c r="D14" s="9" t="s">
        <v>148</v>
      </c>
      <c r="E14" s="14" t="s">
        <v>6</v>
      </c>
      <c r="F14" s="9">
        <v>20504076</v>
      </c>
      <c r="G14" s="15">
        <v>2100205040769</v>
      </c>
      <c r="H14" s="9" t="s">
        <v>286</v>
      </c>
      <c r="L14" s="20" t="str">
        <f>IFERROR(VLOOKUP(A14,二次製品納品書入力!A:C,3,FALSE),"")</f>
        <v/>
      </c>
    </row>
    <row r="15" spans="1:12" ht="24.75" customHeight="1" x14ac:dyDescent="0.15">
      <c r="A15" s="13">
        <v>100210</v>
      </c>
      <c r="B15" s="14" t="s">
        <v>60</v>
      </c>
      <c r="C15" s="16" t="s">
        <v>71</v>
      </c>
      <c r="D15" s="9" t="s">
        <v>149</v>
      </c>
      <c r="E15" s="14" t="s">
        <v>6</v>
      </c>
      <c r="F15" s="9">
        <v>20504083</v>
      </c>
      <c r="G15" s="15">
        <v>2100205040837</v>
      </c>
      <c r="H15" s="9" t="s">
        <v>286</v>
      </c>
      <c r="L15" s="20" t="str">
        <f>IFERROR(VLOOKUP(A15,二次製品納品書入力!A:C,3,FALSE),"")</f>
        <v/>
      </c>
    </row>
    <row r="16" spans="1:12" ht="24.75" customHeight="1" x14ac:dyDescent="0.15">
      <c r="A16" s="13">
        <v>100211</v>
      </c>
      <c r="B16" s="14" t="s">
        <v>60</v>
      </c>
      <c r="C16" s="9" t="s">
        <v>72</v>
      </c>
      <c r="D16" s="9" t="s">
        <v>150</v>
      </c>
      <c r="E16" s="14" t="s">
        <v>6</v>
      </c>
      <c r="F16" s="9">
        <v>20504090</v>
      </c>
      <c r="G16" s="15">
        <v>2100205040905</v>
      </c>
      <c r="H16" s="9">
        <v>42</v>
      </c>
      <c r="L16" s="20">
        <f>IFERROR(VLOOKUP(A16,二次製品納品書入力!A:C,3,FALSE),"")</f>
        <v>42</v>
      </c>
    </row>
    <row r="17" spans="1:12" ht="24.75" customHeight="1" x14ac:dyDescent="0.15">
      <c r="A17" s="13">
        <v>100212</v>
      </c>
      <c r="B17" s="14" t="s">
        <v>60</v>
      </c>
      <c r="C17" s="9" t="s">
        <v>73</v>
      </c>
      <c r="D17" s="9" t="s">
        <v>151</v>
      </c>
      <c r="E17" s="14" t="s">
        <v>6</v>
      </c>
      <c r="F17" s="9">
        <v>20504106</v>
      </c>
      <c r="G17" s="15">
        <v>2100205041063</v>
      </c>
      <c r="H17" s="9" t="s">
        <v>286</v>
      </c>
      <c r="L17" s="20" t="str">
        <f>IFERROR(VLOOKUP(A17,二次製品納品書入力!A:C,3,FALSE),"")</f>
        <v/>
      </c>
    </row>
    <row r="18" spans="1:12" ht="24.75" customHeight="1" x14ac:dyDescent="0.15">
      <c r="A18" s="13">
        <v>100213</v>
      </c>
      <c r="B18" s="14" t="s">
        <v>60</v>
      </c>
      <c r="C18" s="9" t="s">
        <v>74</v>
      </c>
      <c r="D18" s="9" t="s">
        <v>152</v>
      </c>
      <c r="E18" s="14" t="s">
        <v>6</v>
      </c>
      <c r="F18" s="9">
        <v>20504113</v>
      </c>
      <c r="G18" s="15">
        <v>2100205041131</v>
      </c>
      <c r="H18" s="9">
        <v>20</v>
      </c>
      <c r="L18" s="20">
        <f>IFERROR(VLOOKUP(A18,二次製品納品書入力!A:C,3,FALSE),"")</f>
        <v>20</v>
      </c>
    </row>
    <row r="19" spans="1:12" ht="24.75" customHeight="1" x14ac:dyDescent="0.15">
      <c r="A19" s="13">
        <v>100214</v>
      </c>
      <c r="B19" s="14" t="s">
        <v>60</v>
      </c>
      <c r="C19" s="9" t="s">
        <v>75</v>
      </c>
      <c r="D19" s="9" t="s">
        <v>153</v>
      </c>
      <c r="E19" s="14" t="s">
        <v>6</v>
      </c>
      <c r="F19" s="9">
        <v>20504120</v>
      </c>
      <c r="G19" s="15">
        <v>2100205041209</v>
      </c>
      <c r="H19" s="9">
        <v>128</v>
      </c>
      <c r="L19" s="20">
        <f>IFERROR(VLOOKUP(A19,二次製品納品書入力!A:C,3,FALSE),"")</f>
        <v>128</v>
      </c>
    </row>
    <row r="20" spans="1:12" ht="24.75" customHeight="1" x14ac:dyDescent="0.15">
      <c r="A20" s="13">
        <v>100215</v>
      </c>
      <c r="B20" s="14" t="s">
        <v>60</v>
      </c>
      <c r="C20" s="9" t="s">
        <v>76</v>
      </c>
      <c r="D20" s="9" t="s">
        <v>154</v>
      </c>
      <c r="E20" s="14" t="s">
        <v>6</v>
      </c>
      <c r="F20" s="9">
        <v>20504137</v>
      </c>
      <c r="G20" s="15">
        <v>2100205041377</v>
      </c>
      <c r="H20" s="9" t="s">
        <v>286</v>
      </c>
      <c r="L20" s="20" t="str">
        <f>IFERROR(VLOOKUP(A20,二次製品納品書入力!A:C,3,FALSE),"")</f>
        <v/>
      </c>
    </row>
    <row r="21" spans="1:12" ht="24.75" customHeight="1" x14ac:dyDescent="0.15">
      <c r="A21" s="13">
        <v>100216</v>
      </c>
      <c r="B21" s="14" t="s">
        <v>60</v>
      </c>
      <c r="C21" s="9" t="s">
        <v>77</v>
      </c>
      <c r="D21" s="9" t="s">
        <v>155</v>
      </c>
      <c r="E21" s="14" t="s">
        <v>6</v>
      </c>
      <c r="F21" s="9">
        <v>20504144</v>
      </c>
      <c r="G21" s="15">
        <v>2100205041445</v>
      </c>
      <c r="H21" s="9" t="s">
        <v>286</v>
      </c>
      <c r="L21" s="20" t="str">
        <f>IFERROR(VLOOKUP(A21,二次製品納品書入力!A:C,3,FALSE),"")</f>
        <v/>
      </c>
    </row>
    <row r="22" spans="1:12" ht="24.75" customHeight="1" x14ac:dyDescent="0.15">
      <c r="A22" s="13">
        <v>100217</v>
      </c>
      <c r="B22" s="14" t="s">
        <v>60</v>
      </c>
      <c r="C22" s="9" t="s">
        <v>78</v>
      </c>
      <c r="D22" s="9" t="s">
        <v>156</v>
      </c>
      <c r="E22" s="14" t="s">
        <v>6</v>
      </c>
      <c r="F22" s="9">
        <v>20504151</v>
      </c>
      <c r="G22" s="15">
        <v>2100205041513</v>
      </c>
      <c r="H22" s="9" t="s">
        <v>286</v>
      </c>
      <c r="L22" s="20" t="str">
        <f>IFERROR(VLOOKUP(A22,二次製品納品書入力!A:C,3,FALSE),"")</f>
        <v/>
      </c>
    </row>
    <row r="23" spans="1:12" ht="24.75" customHeight="1" x14ac:dyDescent="0.15">
      <c r="A23" s="13">
        <v>100218</v>
      </c>
      <c r="B23" s="14" t="s">
        <v>60</v>
      </c>
      <c r="C23" s="9" t="s">
        <v>79</v>
      </c>
      <c r="D23" s="9" t="s">
        <v>157</v>
      </c>
      <c r="E23" s="14" t="s">
        <v>6</v>
      </c>
      <c r="F23" s="9">
        <v>20504168</v>
      </c>
      <c r="G23" s="15">
        <v>2100205041681</v>
      </c>
      <c r="H23" s="9">
        <v>20</v>
      </c>
      <c r="L23" s="20">
        <f>IFERROR(VLOOKUP(A23,二次製品納品書入力!A:C,3,FALSE),"")</f>
        <v>20</v>
      </c>
    </row>
    <row r="24" spans="1:12" ht="24.75" customHeight="1" x14ac:dyDescent="0.15">
      <c r="A24" s="13">
        <v>100219</v>
      </c>
      <c r="B24" s="14" t="s">
        <v>60</v>
      </c>
      <c r="C24" s="9" t="s">
        <v>80</v>
      </c>
      <c r="D24" s="9" t="s">
        <v>158</v>
      </c>
      <c r="E24" s="14" t="s">
        <v>6</v>
      </c>
      <c r="F24" s="9">
        <v>20504175</v>
      </c>
      <c r="G24" s="15">
        <v>2100205041759</v>
      </c>
      <c r="H24" s="9" t="s">
        <v>286</v>
      </c>
      <c r="L24" s="20" t="str">
        <f>IFERROR(VLOOKUP(A24,二次製品納品書入力!A:C,3,FALSE),"")</f>
        <v/>
      </c>
    </row>
    <row r="25" spans="1:12" ht="24.75" customHeight="1" x14ac:dyDescent="0.15">
      <c r="A25" s="13">
        <v>100220</v>
      </c>
      <c r="B25" s="14" t="s">
        <v>60</v>
      </c>
      <c r="C25" s="9" t="s">
        <v>81</v>
      </c>
      <c r="D25" s="9" t="s">
        <v>159</v>
      </c>
      <c r="E25" s="14" t="s">
        <v>6</v>
      </c>
      <c r="F25" s="9">
        <v>20504182</v>
      </c>
      <c r="G25" s="15">
        <v>2100205041827</v>
      </c>
      <c r="H25" s="9" t="s">
        <v>286</v>
      </c>
      <c r="L25" s="20" t="str">
        <f>IFERROR(VLOOKUP(A25,二次製品納品書入力!A:C,3,FALSE),"")</f>
        <v/>
      </c>
    </row>
    <row r="26" spans="1:12" x14ac:dyDescent="0.15">
      <c r="A26" s="13">
        <v>100221</v>
      </c>
      <c r="B26" s="14" t="s">
        <v>60</v>
      </c>
      <c r="C26" s="9" t="s">
        <v>82</v>
      </c>
      <c r="D26" s="9" t="s">
        <v>160</v>
      </c>
      <c r="E26" s="14" t="s">
        <v>6</v>
      </c>
      <c r="F26" s="9">
        <v>20504199</v>
      </c>
      <c r="G26" s="15">
        <v>2100205041995</v>
      </c>
      <c r="H26" s="9" t="s">
        <v>286</v>
      </c>
      <c r="L26" s="20" t="str">
        <f>IFERROR(VLOOKUP(A26,二次製品納品書入力!A:C,3,FALSE),"")</f>
        <v/>
      </c>
    </row>
    <row r="27" spans="1:12" x14ac:dyDescent="0.15">
      <c r="A27" s="13">
        <v>100222</v>
      </c>
      <c r="B27" s="14" t="s">
        <v>60</v>
      </c>
      <c r="C27" s="9" t="s">
        <v>83</v>
      </c>
      <c r="D27" s="9" t="s">
        <v>161</v>
      </c>
      <c r="E27" s="14" t="s">
        <v>6</v>
      </c>
      <c r="F27" s="9">
        <v>20504205</v>
      </c>
      <c r="G27" s="15">
        <v>2100205042053</v>
      </c>
      <c r="H27" s="9" t="s">
        <v>286</v>
      </c>
      <c r="L27" s="20" t="str">
        <f>IFERROR(VLOOKUP(A27,二次製品納品書入力!A:C,3,FALSE),"")</f>
        <v/>
      </c>
    </row>
    <row r="28" spans="1:12" x14ac:dyDescent="0.15">
      <c r="A28" s="13">
        <v>100223</v>
      </c>
      <c r="B28" s="14" t="s">
        <v>60</v>
      </c>
      <c r="C28" s="9" t="s">
        <v>84</v>
      </c>
      <c r="D28" s="9" t="s">
        <v>162</v>
      </c>
      <c r="E28" s="14" t="s">
        <v>6</v>
      </c>
      <c r="F28" s="9">
        <v>20504212</v>
      </c>
      <c r="G28" s="15">
        <v>2100205042121</v>
      </c>
      <c r="H28" s="9" t="s">
        <v>286</v>
      </c>
      <c r="L28" s="20" t="str">
        <f>IFERROR(VLOOKUP(A28,二次製品納品書入力!A:C,3,FALSE),"")</f>
        <v/>
      </c>
    </row>
    <row r="29" spans="1:12" x14ac:dyDescent="0.15">
      <c r="A29" s="13">
        <v>100224</v>
      </c>
      <c r="B29" s="14" t="s">
        <v>60</v>
      </c>
      <c r="C29" s="9" t="s">
        <v>85</v>
      </c>
      <c r="D29" s="9" t="s">
        <v>163</v>
      </c>
      <c r="E29" s="14" t="s">
        <v>6</v>
      </c>
      <c r="F29" s="9">
        <v>20504229</v>
      </c>
      <c r="G29" s="15">
        <v>2100205042299</v>
      </c>
      <c r="H29" s="9" t="s">
        <v>286</v>
      </c>
      <c r="L29" s="20" t="str">
        <f>IFERROR(VLOOKUP(A29,二次製品納品書入力!A:C,3,FALSE),"")</f>
        <v/>
      </c>
    </row>
    <row r="30" spans="1:12" x14ac:dyDescent="0.15">
      <c r="A30" s="13">
        <v>100225</v>
      </c>
      <c r="B30" s="14" t="s">
        <v>60</v>
      </c>
      <c r="C30" s="9" t="s">
        <v>86</v>
      </c>
      <c r="D30" s="9" t="s">
        <v>164</v>
      </c>
      <c r="E30" s="14" t="s">
        <v>6</v>
      </c>
      <c r="F30" s="9">
        <v>20504236</v>
      </c>
      <c r="G30" s="15">
        <v>2100205042367</v>
      </c>
      <c r="H30" s="9" t="s">
        <v>286</v>
      </c>
      <c r="L30" s="20" t="str">
        <f>IFERROR(VLOOKUP(A30,二次製品納品書入力!A:C,3,FALSE),"")</f>
        <v/>
      </c>
    </row>
    <row r="31" spans="1:12" x14ac:dyDescent="0.15">
      <c r="A31" s="13">
        <v>100226</v>
      </c>
      <c r="B31" s="14" t="s">
        <v>60</v>
      </c>
      <c r="C31" s="9" t="s">
        <v>87</v>
      </c>
      <c r="D31" s="9" t="s">
        <v>165</v>
      </c>
      <c r="E31" s="14" t="s">
        <v>6</v>
      </c>
      <c r="F31" s="9">
        <v>20504243</v>
      </c>
      <c r="G31" s="15">
        <v>2100205042435</v>
      </c>
      <c r="H31" s="9" t="s">
        <v>286</v>
      </c>
      <c r="L31" s="20" t="str">
        <f>IFERROR(VLOOKUP(A31,二次製品納品書入力!A:C,3,FALSE),"")</f>
        <v/>
      </c>
    </row>
    <row r="32" spans="1:12" x14ac:dyDescent="0.15">
      <c r="A32" s="13">
        <v>100227</v>
      </c>
      <c r="B32" s="14" t="s">
        <v>60</v>
      </c>
      <c r="C32" s="9" t="s">
        <v>88</v>
      </c>
      <c r="D32" s="9" t="s">
        <v>166</v>
      </c>
      <c r="E32" s="14" t="s">
        <v>6</v>
      </c>
      <c r="F32" s="9">
        <v>20504250</v>
      </c>
      <c r="G32" s="15">
        <v>2100205042503</v>
      </c>
      <c r="H32" s="9" t="s">
        <v>286</v>
      </c>
      <c r="L32" s="20" t="str">
        <f>IFERROR(VLOOKUP(A32,二次製品納品書入力!A:C,3,FALSE),"")</f>
        <v/>
      </c>
    </row>
    <row r="33" spans="1:12" x14ac:dyDescent="0.15">
      <c r="A33" s="13">
        <v>100228</v>
      </c>
      <c r="B33" s="14" t="s">
        <v>60</v>
      </c>
      <c r="C33" s="9" t="s">
        <v>89</v>
      </c>
      <c r="D33" s="9" t="s">
        <v>167</v>
      </c>
      <c r="E33" s="14" t="s">
        <v>6</v>
      </c>
      <c r="F33" s="9">
        <v>20504267</v>
      </c>
      <c r="G33" s="15">
        <v>2100205042671</v>
      </c>
      <c r="H33" s="9" t="s">
        <v>286</v>
      </c>
      <c r="L33" s="20" t="str">
        <f>IFERROR(VLOOKUP(A33,二次製品納品書入力!A:C,3,FALSE),"")</f>
        <v/>
      </c>
    </row>
    <row r="34" spans="1:12" x14ac:dyDescent="0.15">
      <c r="A34" s="13">
        <v>100229</v>
      </c>
      <c r="B34" s="14" t="s">
        <v>60</v>
      </c>
      <c r="C34" s="9" t="s">
        <v>90</v>
      </c>
      <c r="D34" s="9" t="s">
        <v>168</v>
      </c>
      <c r="E34" s="14" t="s">
        <v>6</v>
      </c>
      <c r="F34" s="9">
        <v>20504274</v>
      </c>
      <c r="G34" s="15">
        <v>2100205042749</v>
      </c>
      <c r="H34" s="9" t="s">
        <v>286</v>
      </c>
      <c r="L34" s="20" t="str">
        <f>IFERROR(VLOOKUP(A34,二次製品納品書入力!A:C,3,FALSE),"")</f>
        <v/>
      </c>
    </row>
    <row r="35" spans="1:12" x14ac:dyDescent="0.15">
      <c r="A35" s="13">
        <v>100230</v>
      </c>
      <c r="B35" s="14" t="s">
        <v>60</v>
      </c>
      <c r="C35" s="9" t="s">
        <v>91</v>
      </c>
      <c r="D35" s="9" t="s">
        <v>169</v>
      </c>
      <c r="E35" s="14" t="s">
        <v>6</v>
      </c>
      <c r="F35" s="9">
        <v>20504281</v>
      </c>
      <c r="G35" s="15">
        <v>2100205042817</v>
      </c>
      <c r="H35" s="9" t="s">
        <v>286</v>
      </c>
      <c r="L35" s="20" t="str">
        <f>IFERROR(VLOOKUP(A35,二次製品納品書入力!A:C,3,FALSE),"")</f>
        <v/>
      </c>
    </row>
    <row r="36" spans="1:12" x14ac:dyDescent="0.15">
      <c r="A36" s="13">
        <v>100231</v>
      </c>
      <c r="B36" s="14" t="s">
        <v>60</v>
      </c>
      <c r="C36" s="9" t="s">
        <v>92</v>
      </c>
      <c r="D36" s="9" t="s">
        <v>170</v>
      </c>
      <c r="E36" s="14" t="s">
        <v>6</v>
      </c>
      <c r="F36" s="9">
        <v>20504298</v>
      </c>
      <c r="G36" s="15">
        <v>2100205042985</v>
      </c>
      <c r="H36" s="9" t="s">
        <v>286</v>
      </c>
      <c r="L36" s="20" t="str">
        <f>IFERROR(VLOOKUP(A36,二次製品納品書入力!A:C,3,FALSE),"")</f>
        <v/>
      </c>
    </row>
    <row r="37" spans="1:12" x14ac:dyDescent="0.15">
      <c r="A37" s="13">
        <v>100232</v>
      </c>
      <c r="B37" s="14" t="s">
        <v>60</v>
      </c>
      <c r="C37" s="9" t="s">
        <v>93</v>
      </c>
      <c r="D37" s="9" t="s">
        <v>171</v>
      </c>
      <c r="E37" s="14" t="s">
        <v>6</v>
      </c>
      <c r="F37" s="9">
        <v>20504304</v>
      </c>
      <c r="G37" s="15">
        <v>2100205043043</v>
      </c>
      <c r="H37" s="9" t="s">
        <v>286</v>
      </c>
      <c r="L37" s="20" t="str">
        <f>IFERROR(VLOOKUP(A37,二次製品納品書入力!A:C,3,FALSE),"")</f>
        <v/>
      </c>
    </row>
    <row r="38" spans="1:12" x14ac:dyDescent="0.15">
      <c r="A38" s="13">
        <v>100233</v>
      </c>
      <c r="B38" s="14" t="s">
        <v>60</v>
      </c>
      <c r="C38" s="9" t="s">
        <v>94</v>
      </c>
      <c r="D38" s="9" t="s">
        <v>172</v>
      </c>
      <c r="E38" s="14" t="s">
        <v>6</v>
      </c>
      <c r="F38" s="9">
        <v>20504311</v>
      </c>
      <c r="G38" s="15">
        <v>2100205043111</v>
      </c>
      <c r="H38" s="9">
        <v>100</v>
      </c>
      <c r="L38" s="20">
        <f>IFERROR(VLOOKUP(A38,二次製品納品書入力!A:C,3,FALSE),"")</f>
        <v>100</v>
      </c>
    </row>
    <row r="39" spans="1:12" x14ac:dyDescent="0.15">
      <c r="A39" s="13">
        <v>100234</v>
      </c>
      <c r="B39" s="14" t="s">
        <v>60</v>
      </c>
      <c r="C39" s="9" t="s">
        <v>95</v>
      </c>
      <c r="D39" s="9" t="s">
        <v>173</v>
      </c>
      <c r="E39" s="14" t="s">
        <v>6</v>
      </c>
      <c r="F39" s="9">
        <v>20504328</v>
      </c>
      <c r="G39" s="15">
        <v>2100205043289</v>
      </c>
      <c r="H39" s="9">
        <v>30</v>
      </c>
      <c r="L39" s="20">
        <f>IFERROR(VLOOKUP(A39,二次製品納品書入力!A:C,3,FALSE),"")</f>
        <v>30</v>
      </c>
    </row>
    <row r="40" spans="1:12" x14ac:dyDescent="0.15">
      <c r="A40" s="13">
        <v>100235</v>
      </c>
      <c r="B40" s="14" t="s">
        <v>60</v>
      </c>
      <c r="C40" s="9" t="s">
        <v>96</v>
      </c>
      <c r="D40" s="9" t="s">
        <v>174</v>
      </c>
      <c r="E40" s="14" t="s">
        <v>6</v>
      </c>
      <c r="F40" s="9">
        <v>20504335</v>
      </c>
      <c r="G40" s="15">
        <v>2100205043357</v>
      </c>
      <c r="H40" s="9" t="s">
        <v>286</v>
      </c>
      <c r="L40" s="20" t="str">
        <f>IFERROR(VLOOKUP(A40,二次製品納品書入力!A:C,3,FALSE),"")</f>
        <v/>
      </c>
    </row>
    <row r="41" spans="1:12" x14ac:dyDescent="0.15">
      <c r="A41" s="13">
        <v>100236</v>
      </c>
      <c r="B41" s="14" t="s">
        <v>60</v>
      </c>
      <c r="C41" s="9" t="s">
        <v>97</v>
      </c>
      <c r="D41" s="9" t="s">
        <v>175</v>
      </c>
      <c r="E41" s="14" t="s">
        <v>6</v>
      </c>
      <c r="F41" s="9">
        <v>20504342</v>
      </c>
      <c r="G41" s="15">
        <v>2100205043425</v>
      </c>
      <c r="H41" s="9" t="s">
        <v>286</v>
      </c>
      <c r="L41" s="20" t="str">
        <f>IFERROR(VLOOKUP(A41,二次製品納品書入力!A:C,3,FALSE),"")</f>
        <v/>
      </c>
    </row>
    <row r="42" spans="1:12" x14ac:dyDescent="0.15">
      <c r="A42" s="13">
        <v>100237</v>
      </c>
      <c r="B42" s="14" t="s">
        <v>60</v>
      </c>
      <c r="C42" s="9" t="s">
        <v>98</v>
      </c>
      <c r="D42" s="9" t="s">
        <v>176</v>
      </c>
      <c r="E42" s="14" t="s">
        <v>6</v>
      </c>
      <c r="F42" s="9">
        <v>20504359</v>
      </c>
      <c r="G42" s="15">
        <v>2100205043593</v>
      </c>
      <c r="H42" s="9" t="s">
        <v>286</v>
      </c>
      <c r="L42" s="20" t="str">
        <f>IFERROR(VLOOKUP(A42,二次製品納品書入力!A:C,3,FALSE),"")</f>
        <v/>
      </c>
    </row>
    <row r="43" spans="1:12" x14ac:dyDescent="0.15">
      <c r="A43" s="13">
        <v>100238</v>
      </c>
      <c r="B43" s="14" t="s">
        <v>60</v>
      </c>
      <c r="C43" s="9" t="s">
        <v>99</v>
      </c>
      <c r="D43" s="9" t="s">
        <v>177</v>
      </c>
      <c r="E43" s="14" t="s">
        <v>6</v>
      </c>
      <c r="F43" s="9">
        <v>20504366</v>
      </c>
      <c r="G43" s="15">
        <v>2100205043661</v>
      </c>
      <c r="H43" s="9" t="s">
        <v>286</v>
      </c>
      <c r="L43" s="20" t="str">
        <f>IFERROR(VLOOKUP(A43,二次製品納品書入力!A:C,3,FALSE),"")</f>
        <v/>
      </c>
    </row>
    <row r="44" spans="1:12" x14ac:dyDescent="0.15">
      <c r="A44" s="13">
        <v>100239</v>
      </c>
      <c r="B44" s="14" t="s">
        <v>60</v>
      </c>
      <c r="C44" s="9" t="s">
        <v>100</v>
      </c>
      <c r="D44" s="9" t="s">
        <v>178</v>
      </c>
      <c r="E44" s="14" t="s">
        <v>6</v>
      </c>
      <c r="F44" s="9">
        <v>20504373</v>
      </c>
      <c r="G44" s="15">
        <v>2100205043739</v>
      </c>
      <c r="H44" s="9" t="s">
        <v>286</v>
      </c>
      <c r="L44" s="20" t="str">
        <f>IFERROR(VLOOKUP(A44,二次製品納品書入力!A:C,3,FALSE),"")</f>
        <v/>
      </c>
    </row>
    <row r="45" spans="1:12" x14ac:dyDescent="0.15">
      <c r="A45" s="13">
        <v>100240</v>
      </c>
      <c r="B45" s="14" t="s">
        <v>60</v>
      </c>
      <c r="C45" s="9" t="s">
        <v>101</v>
      </c>
      <c r="D45" s="9" t="s">
        <v>179</v>
      </c>
      <c r="E45" s="14" t="s">
        <v>6</v>
      </c>
      <c r="F45" s="9">
        <v>20504380</v>
      </c>
      <c r="G45" s="15">
        <v>2100205043807</v>
      </c>
      <c r="H45" s="9" t="s">
        <v>286</v>
      </c>
      <c r="L45" s="20" t="str">
        <f>IFERROR(VLOOKUP(A45,二次製品納品書入力!A:C,3,FALSE),"")</f>
        <v/>
      </c>
    </row>
    <row r="46" spans="1:12" x14ac:dyDescent="0.15">
      <c r="A46" s="13">
        <v>100241</v>
      </c>
      <c r="B46" s="14" t="s">
        <v>60</v>
      </c>
      <c r="C46" s="9" t="s">
        <v>102</v>
      </c>
      <c r="D46" s="9" t="s">
        <v>180</v>
      </c>
      <c r="E46" s="14" t="s">
        <v>6</v>
      </c>
      <c r="F46" s="9">
        <v>20504397</v>
      </c>
      <c r="G46" s="15">
        <v>2100205043975</v>
      </c>
      <c r="H46" s="9" t="s">
        <v>286</v>
      </c>
      <c r="L46" s="20" t="str">
        <f>IFERROR(VLOOKUP(A46,二次製品納品書入力!A:C,3,FALSE),"")</f>
        <v/>
      </c>
    </row>
    <row r="47" spans="1:12" x14ac:dyDescent="0.15">
      <c r="A47" s="13">
        <v>100242</v>
      </c>
      <c r="B47" s="14" t="s">
        <v>60</v>
      </c>
      <c r="C47" s="9" t="s">
        <v>103</v>
      </c>
      <c r="D47" s="9" t="s">
        <v>181</v>
      </c>
      <c r="E47" s="14" t="s">
        <v>6</v>
      </c>
      <c r="F47" s="9">
        <v>20504403</v>
      </c>
      <c r="G47" s="15">
        <v>2100205044033</v>
      </c>
      <c r="H47" s="9">
        <v>48</v>
      </c>
      <c r="L47" s="20">
        <f>IFERROR(VLOOKUP(A47,二次製品納品書入力!A:C,3,FALSE),"")</f>
        <v>48</v>
      </c>
    </row>
    <row r="48" spans="1:12" x14ac:dyDescent="0.15">
      <c r="A48" s="13">
        <v>100243</v>
      </c>
      <c r="B48" s="14" t="s">
        <v>60</v>
      </c>
      <c r="C48" s="9" t="s">
        <v>104</v>
      </c>
      <c r="D48" s="9" t="s">
        <v>182</v>
      </c>
      <c r="E48" s="14" t="s">
        <v>6</v>
      </c>
      <c r="F48" s="9">
        <v>20504410</v>
      </c>
      <c r="G48" s="15">
        <v>2100205044101</v>
      </c>
      <c r="H48" s="9" t="s">
        <v>286</v>
      </c>
      <c r="L48" s="20" t="str">
        <f>IFERROR(VLOOKUP(A48,二次製品納品書入力!A:C,3,FALSE),"")</f>
        <v/>
      </c>
    </row>
    <row r="49" spans="1:12" x14ac:dyDescent="0.15">
      <c r="A49" s="13">
        <v>100244</v>
      </c>
      <c r="B49" s="14" t="s">
        <v>60</v>
      </c>
      <c r="C49" s="9" t="s">
        <v>105</v>
      </c>
      <c r="D49" s="9" t="s">
        <v>183</v>
      </c>
      <c r="E49" s="14" t="s">
        <v>6</v>
      </c>
      <c r="F49" s="9">
        <v>20504427</v>
      </c>
      <c r="G49" s="15">
        <v>2100205044279</v>
      </c>
      <c r="H49" s="9" t="s">
        <v>286</v>
      </c>
      <c r="L49" s="20" t="str">
        <f>IFERROR(VLOOKUP(A49,二次製品納品書入力!A:C,3,FALSE),"")</f>
        <v/>
      </c>
    </row>
    <row r="50" spans="1:12" x14ac:dyDescent="0.15">
      <c r="A50" s="13">
        <v>100245</v>
      </c>
      <c r="B50" s="14" t="s">
        <v>60</v>
      </c>
      <c r="C50" s="9" t="s">
        <v>106</v>
      </c>
      <c r="D50" s="9" t="s">
        <v>184</v>
      </c>
      <c r="E50" s="14" t="s">
        <v>6</v>
      </c>
      <c r="F50" s="9">
        <v>20504434</v>
      </c>
      <c r="G50" s="15">
        <v>2100205044347</v>
      </c>
      <c r="H50" s="9" t="s">
        <v>286</v>
      </c>
      <c r="L50" s="20" t="str">
        <f>IFERROR(VLOOKUP(A50,二次製品納品書入力!A:C,3,FALSE),"")</f>
        <v/>
      </c>
    </row>
    <row r="51" spans="1:12" x14ac:dyDescent="0.15">
      <c r="A51" s="13">
        <v>100246</v>
      </c>
      <c r="B51" s="14" t="s">
        <v>60</v>
      </c>
      <c r="C51" s="9" t="s">
        <v>107</v>
      </c>
      <c r="D51" s="9" t="s">
        <v>185</v>
      </c>
      <c r="E51" s="14" t="s">
        <v>6</v>
      </c>
      <c r="F51" s="9">
        <v>20504441</v>
      </c>
      <c r="G51" s="15">
        <v>2100205044415</v>
      </c>
      <c r="H51" s="9">
        <v>120</v>
      </c>
      <c r="L51" s="20">
        <f>IFERROR(VLOOKUP(A51,二次製品納品書入力!A:C,3,FALSE),"")</f>
        <v>120</v>
      </c>
    </row>
    <row r="52" spans="1:12" x14ac:dyDescent="0.15">
      <c r="A52" s="13">
        <v>100247</v>
      </c>
      <c r="B52" s="14" t="s">
        <v>60</v>
      </c>
      <c r="C52" s="9" t="s">
        <v>108</v>
      </c>
      <c r="D52" s="9" t="s">
        <v>186</v>
      </c>
      <c r="E52" s="14" t="s">
        <v>6</v>
      </c>
      <c r="F52" s="9">
        <v>20504458</v>
      </c>
      <c r="G52" s="15">
        <v>2100205044583</v>
      </c>
      <c r="H52" s="9" t="s">
        <v>286</v>
      </c>
      <c r="L52" s="20" t="str">
        <f>IFERROR(VLOOKUP(A52,二次製品納品書入力!A:C,3,FALSE),"")</f>
        <v/>
      </c>
    </row>
    <row r="53" spans="1:12" x14ac:dyDescent="0.15">
      <c r="A53" s="13">
        <v>100248</v>
      </c>
      <c r="B53" s="14" t="s">
        <v>60</v>
      </c>
      <c r="C53" s="9" t="s">
        <v>109</v>
      </c>
      <c r="D53" s="9" t="s">
        <v>187</v>
      </c>
      <c r="E53" s="14" t="s">
        <v>6</v>
      </c>
      <c r="F53" s="9">
        <v>20504465</v>
      </c>
      <c r="G53" s="15">
        <v>2100205044651</v>
      </c>
      <c r="H53" s="9">
        <v>120</v>
      </c>
      <c r="L53" s="20">
        <f>IFERROR(VLOOKUP(A53,二次製品納品書入力!A:C,3,FALSE),"")</f>
        <v>120</v>
      </c>
    </row>
    <row r="54" spans="1:12" x14ac:dyDescent="0.15">
      <c r="A54" s="13">
        <v>100249</v>
      </c>
      <c r="B54" s="14" t="s">
        <v>60</v>
      </c>
      <c r="C54" s="9" t="s">
        <v>110</v>
      </c>
      <c r="D54" s="9" t="s">
        <v>188</v>
      </c>
      <c r="E54" s="14" t="s">
        <v>6</v>
      </c>
      <c r="F54" s="9">
        <v>20504472</v>
      </c>
      <c r="G54" s="15">
        <v>2100205044729</v>
      </c>
      <c r="H54" s="9">
        <v>256</v>
      </c>
      <c r="L54" s="20">
        <f>IFERROR(VLOOKUP(A54,二次製品納品書入力!A:C,3,FALSE),"")</f>
        <v>256</v>
      </c>
    </row>
    <row r="55" spans="1:12" x14ac:dyDescent="0.15">
      <c r="A55" s="13">
        <v>100250</v>
      </c>
      <c r="B55" s="14" t="s">
        <v>60</v>
      </c>
      <c r="C55" s="9" t="s">
        <v>111</v>
      </c>
      <c r="D55" s="9" t="s">
        <v>189</v>
      </c>
      <c r="E55" s="14" t="s">
        <v>6</v>
      </c>
      <c r="F55" s="9">
        <v>20504489</v>
      </c>
      <c r="G55" s="15">
        <v>2100205044897</v>
      </c>
      <c r="H55" s="9">
        <v>32</v>
      </c>
      <c r="L55" s="20">
        <f>IFERROR(VLOOKUP(A55,二次製品納品書入力!A:C,3,FALSE),"")</f>
        <v>32</v>
      </c>
    </row>
    <row r="56" spans="1:12" x14ac:dyDescent="0.15">
      <c r="A56" s="13">
        <v>100251</v>
      </c>
      <c r="B56" s="14" t="s">
        <v>60</v>
      </c>
      <c r="C56" s="9" t="s">
        <v>112</v>
      </c>
      <c r="D56" s="9" t="s">
        <v>190</v>
      </c>
      <c r="E56" s="14" t="s">
        <v>6</v>
      </c>
      <c r="F56" s="9">
        <v>20504496</v>
      </c>
      <c r="G56" s="15">
        <v>2100205044965</v>
      </c>
      <c r="H56" s="9">
        <v>32</v>
      </c>
      <c r="L56" s="20">
        <f>IFERROR(VLOOKUP(A56,二次製品納品書入力!A:C,3,FALSE),"")</f>
        <v>32</v>
      </c>
    </row>
    <row r="57" spans="1:12" x14ac:dyDescent="0.15">
      <c r="A57" s="13">
        <v>100252</v>
      </c>
      <c r="B57" s="14" t="s">
        <v>60</v>
      </c>
      <c r="C57" s="9" t="s">
        <v>113</v>
      </c>
      <c r="D57" s="9" t="s">
        <v>191</v>
      </c>
      <c r="E57" s="14" t="s">
        <v>6</v>
      </c>
      <c r="F57" s="9">
        <v>20504502</v>
      </c>
      <c r="G57" s="15">
        <v>2100205045023</v>
      </c>
      <c r="H57" s="9">
        <v>60</v>
      </c>
      <c r="L57" s="20">
        <f>IFERROR(VLOOKUP(A57,二次製品納品書入力!A:C,3,FALSE),"")</f>
        <v>60</v>
      </c>
    </row>
    <row r="58" spans="1:12" x14ac:dyDescent="0.15">
      <c r="A58" s="13">
        <v>100253</v>
      </c>
      <c r="B58" s="14" t="s">
        <v>60</v>
      </c>
      <c r="C58" s="9" t="s">
        <v>114</v>
      </c>
      <c r="D58" s="9" t="s">
        <v>192</v>
      </c>
      <c r="E58" s="14" t="s">
        <v>6</v>
      </c>
      <c r="F58" s="9">
        <v>20504519</v>
      </c>
      <c r="G58" s="15">
        <v>2100205045191</v>
      </c>
      <c r="H58" s="9">
        <v>36</v>
      </c>
      <c r="L58" s="20">
        <f>IFERROR(VLOOKUP(A58,二次製品納品書入力!A:C,3,FALSE),"")</f>
        <v>36</v>
      </c>
    </row>
    <row r="59" spans="1:12" x14ac:dyDescent="0.15">
      <c r="A59" s="13">
        <v>100254</v>
      </c>
      <c r="B59" s="14" t="s">
        <v>60</v>
      </c>
      <c r="C59" s="9" t="s">
        <v>115</v>
      </c>
      <c r="D59" s="9" t="s">
        <v>193</v>
      </c>
      <c r="E59" s="14" t="s">
        <v>6</v>
      </c>
      <c r="F59" s="9">
        <v>20504526</v>
      </c>
      <c r="G59" s="15">
        <v>2100205045269</v>
      </c>
      <c r="H59" s="9">
        <v>36</v>
      </c>
      <c r="L59" s="20">
        <f>IFERROR(VLOOKUP(A59,二次製品納品書入力!A:C,3,FALSE),"")</f>
        <v>36</v>
      </c>
    </row>
    <row r="60" spans="1:12" x14ac:dyDescent="0.15">
      <c r="A60" s="13">
        <v>100255</v>
      </c>
      <c r="B60" s="14" t="s">
        <v>60</v>
      </c>
      <c r="C60" s="9" t="s">
        <v>116</v>
      </c>
      <c r="D60" s="9" t="s">
        <v>194</v>
      </c>
      <c r="E60" s="14" t="s">
        <v>6</v>
      </c>
      <c r="F60" s="9">
        <v>20504533</v>
      </c>
      <c r="G60" s="15">
        <v>2100205045337</v>
      </c>
      <c r="H60" s="9">
        <v>48</v>
      </c>
      <c r="L60" s="20">
        <f>IFERROR(VLOOKUP(A60,二次製品納品書入力!A:C,3,FALSE),"")</f>
        <v>48</v>
      </c>
    </row>
    <row r="61" spans="1:12" x14ac:dyDescent="0.15">
      <c r="A61" s="13">
        <v>100256</v>
      </c>
      <c r="B61" s="14" t="s">
        <v>60</v>
      </c>
      <c r="C61" s="9" t="s">
        <v>117</v>
      </c>
      <c r="D61" s="9" t="s">
        <v>195</v>
      </c>
      <c r="E61" s="14" t="s">
        <v>6</v>
      </c>
      <c r="F61" s="9">
        <v>20504540</v>
      </c>
      <c r="G61" s="15">
        <v>2100205045405</v>
      </c>
      <c r="H61" s="9">
        <v>24</v>
      </c>
      <c r="L61" s="20">
        <f>IFERROR(VLOOKUP(A61,二次製品納品書入力!A:C,3,FALSE),"")</f>
        <v>24</v>
      </c>
    </row>
    <row r="62" spans="1:12" x14ac:dyDescent="0.15">
      <c r="A62" s="13">
        <v>100257</v>
      </c>
      <c r="B62" s="14" t="s">
        <v>60</v>
      </c>
      <c r="C62" s="9" t="s">
        <v>118</v>
      </c>
      <c r="D62" s="9" t="s">
        <v>196</v>
      </c>
      <c r="E62" s="14" t="s">
        <v>6</v>
      </c>
      <c r="F62" s="9">
        <v>20504557</v>
      </c>
      <c r="G62" s="15">
        <v>2100205045573</v>
      </c>
      <c r="H62" s="9" t="s">
        <v>286</v>
      </c>
      <c r="L62" s="20" t="str">
        <f>IFERROR(VLOOKUP(A62,二次製品納品書入力!A:C,3,FALSE),"")</f>
        <v/>
      </c>
    </row>
    <row r="63" spans="1:12" x14ac:dyDescent="0.15">
      <c r="A63" s="13">
        <v>100258</v>
      </c>
      <c r="B63" s="14" t="s">
        <v>60</v>
      </c>
      <c r="C63" s="9" t="s">
        <v>119</v>
      </c>
      <c r="D63" s="9" t="s">
        <v>197</v>
      </c>
      <c r="E63" s="14" t="s">
        <v>6</v>
      </c>
      <c r="F63" s="9">
        <v>20504564</v>
      </c>
      <c r="G63" s="15">
        <v>2100205045641</v>
      </c>
      <c r="H63" s="9" t="s">
        <v>286</v>
      </c>
      <c r="L63" s="20" t="str">
        <f>IFERROR(VLOOKUP(A63,二次製品納品書入力!A:C,3,FALSE),"")</f>
        <v/>
      </c>
    </row>
    <row r="64" spans="1:12" x14ac:dyDescent="0.15">
      <c r="A64" s="13">
        <v>100259</v>
      </c>
      <c r="B64" s="14" t="s">
        <v>60</v>
      </c>
      <c r="C64" s="9" t="s">
        <v>120</v>
      </c>
      <c r="D64" s="9" t="s">
        <v>198</v>
      </c>
      <c r="E64" s="14" t="s">
        <v>6</v>
      </c>
      <c r="F64" s="9">
        <v>20504571</v>
      </c>
      <c r="G64" s="15">
        <v>2100205045719</v>
      </c>
      <c r="H64" s="9" t="s">
        <v>286</v>
      </c>
      <c r="L64" s="20" t="str">
        <f>IFERROR(VLOOKUP(A64,二次製品納品書入力!A:C,3,FALSE),"")</f>
        <v/>
      </c>
    </row>
    <row r="65" spans="1:12" x14ac:dyDescent="0.15">
      <c r="A65" s="13">
        <v>100260</v>
      </c>
      <c r="B65" s="14" t="s">
        <v>60</v>
      </c>
      <c r="C65" s="9" t="s">
        <v>121</v>
      </c>
      <c r="D65" s="9" t="s">
        <v>199</v>
      </c>
      <c r="E65" s="14" t="s">
        <v>6</v>
      </c>
      <c r="F65" s="9">
        <v>20504588</v>
      </c>
      <c r="G65" s="15">
        <v>2100205045887</v>
      </c>
      <c r="H65" s="9" t="s">
        <v>286</v>
      </c>
      <c r="L65" s="20" t="str">
        <f>IFERROR(VLOOKUP(A65,二次製品納品書入力!A:C,3,FALSE),"")</f>
        <v/>
      </c>
    </row>
    <row r="66" spans="1:12" x14ac:dyDescent="0.15">
      <c r="A66" s="13">
        <v>100261</v>
      </c>
      <c r="B66" s="14" t="s">
        <v>60</v>
      </c>
      <c r="C66" s="9" t="s">
        <v>122</v>
      </c>
      <c r="D66" s="9" t="s">
        <v>200</v>
      </c>
      <c r="E66" s="14" t="s">
        <v>6</v>
      </c>
      <c r="F66" s="9">
        <v>20504595</v>
      </c>
      <c r="G66" s="15">
        <v>2100205045955</v>
      </c>
      <c r="H66" s="9" t="s">
        <v>286</v>
      </c>
      <c r="L66" s="20" t="str">
        <f>IFERROR(VLOOKUP(A66,二次製品納品書入力!A:C,3,FALSE),"")</f>
        <v/>
      </c>
    </row>
    <row r="67" spans="1:12" x14ac:dyDescent="0.15">
      <c r="A67" s="13">
        <v>100262</v>
      </c>
      <c r="B67" s="14" t="s">
        <v>60</v>
      </c>
      <c r="C67" s="9" t="s">
        <v>123</v>
      </c>
      <c r="D67" s="9" t="s">
        <v>201</v>
      </c>
      <c r="E67" s="14" t="s">
        <v>6</v>
      </c>
      <c r="F67" s="9">
        <v>20504601</v>
      </c>
      <c r="G67" s="15">
        <v>2100205046013</v>
      </c>
      <c r="H67" s="9"/>
      <c r="L67" s="20" t="str">
        <f>IFERROR(VLOOKUP(A67,二次製品納品書入力!A:C,3,FALSE),"")</f>
        <v/>
      </c>
    </row>
    <row r="68" spans="1:12" x14ac:dyDescent="0.15">
      <c r="A68" s="13">
        <v>100263</v>
      </c>
      <c r="B68" s="14" t="s">
        <v>60</v>
      </c>
      <c r="C68" s="9" t="s">
        <v>124</v>
      </c>
      <c r="D68" s="9" t="s">
        <v>202</v>
      </c>
      <c r="E68" s="14" t="s">
        <v>6</v>
      </c>
      <c r="F68" s="9">
        <v>20504618</v>
      </c>
      <c r="G68" s="15">
        <v>2100205046181</v>
      </c>
      <c r="H68" s="9"/>
      <c r="L68" s="20" t="str">
        <f>IFERROR(VLOOKUP(A68,二次製品納品書入力!A:C,3,FALSE),"")</f>
        <v/>
      </c>
    </row>
    <row r="69" spans="1:12" x14ac:dyDescent="0.15">
      <c r="A69" s="13">
        <v>100264</v>
      </c>
      <c r="B69" s="14" t="s">
        <v>60</v>
      </c>
      <c r="C69" s="9" t="s">
        <v>125</v>
      </c>
      <c r="D69" s="9" t="s">
        <v>203</v>
      </c>
      <c r="E69" s="14" t="s">
        <v>6</v>
      </c>
      <c r="F69" s="9">
        <v>20504625</v>
      </c>
      <c r="G69" s="15">
        <v>2100205046259</v>
      </c>
      <c r="H69" s="9"/>
      <c r="L69" s="20" t="str">
        <f>IFERROR(VLOOKUP(A69,二次製品納品書入力!A:C,3,FALSE),"")</f>
        <v/>
      </c>
    </row>
    <row r="70" spans="1:12" x14ac:dyDescent="0.15">
      <c r="A70" s="13">
        <v>100265</v>
      </c>
      <c r="B70" s="14" t="s">
        <v>60</v>
      </c>
      <c r="C70" s="9" t="s">
        <v>126</v>
      </c>
      <c r="D70" s="9" t="s">
        <v>204</v>
      </c>
      <c r="E70" s="14" t="s">
        <v>6</v>
      </c>
      <c r="F70" s="9">
        <v>20504632</v>
      </c>
      <c r="G70" s="15">
        <v>2100205046327</v>
      </c>
      <c r="H70" s="9"/>
      <c r="L70" s="20" t="str">
        <f>IFERROR(VLOOKUP(A70,二次製品納品書入力!A:C,3,FALSE),"")</f>
        <v/>
      </c>
    </row>
    <row r="71" spans="1:12" x14ac:dyDescent="0.15">
      <c r="A71" s="13">
        <v>100266</v>
      </c>
      <c r="B71" s="14" t="s">
        <v>60</v>
      </c>
      <c r="C71" s="9" t="s">
        <v>127</v>
      </c>
      <c r="D71" s="9" t="s">
        <v>205</v>
      </c>
      <c r="E71" s="14" t="s">
        <v>6</v>
      </c>
      <c r="F71" s="9">
        <v>20504649</v>
      </c>
      <c r="G71" s="15">
        <v>2100205046495</v>
      </c>
      <c r="H71" s="9"/>
      <c r="L71" s="20" t="str">
        <f>IFERROR(VLOOKUP(A71,二次製品納品書入力!A:C,3,FALSE),"")</f>
        <v/>
      </c>
    </row>
    <row r="72" spans="1:12" x14ac:dyDescent="0.15">
      <c r="A72" s="13">
        <v>100267</v>
      </c>
      <c r="B72" s="14" t="s">
        <v>60</v>
      </c>
      <c r="C72" s="9" t="s">
        <v>128</v>
      </c>
      <c r="D72" s="9" t="s">
        <v>206</v>
      </c>
      <c r="E72" s="14" t="s">
        <v>6</v>
      </c>
      <c r="F72" s="9">
        <v>20504656</v>
      </c>
      <c r="G72" s="15">
        <v>2100205046563</v>
      </c>
      <c r="H72" s="9"/>
      <c r="L72" s="20" t="str">
        <f>IFERROR(VLOOKUP(A72,二次製品納品書入力!A:C,3,FALSE),"")</f>
        <v/>
      </c>
    </row>
    <row r="73" spans="1:12" x14ac:dyDescent="0.15">
      <c r="A73" s="13">
        <v>100268</v>
      </c>
      <c r="B73" s="14" t="s">
        <v>60</v>
      </c>
      <c r="C73" s="9" t="s">
        <v>129</v>
      </c>
      <c r="D73" s="9" t="s">
        <v>207</v>
      </c>
      <c r="E73" s="14" t="s">
        <v>6</v>
      </c>
      <c r="F73" s="9">
        <v>20504663</v>
      </c>
      <c r="G73" s="15">
        <v>2100205046631</v>
      </c>
      <c r="H73" s="9"/>
      <c r="L73" s="20" t="str">
        <f>IFERROR(VLOOKUP(A73,二次製品納品書入力!A:C,3,FALSE),"")</f>
        <v/>
      </c>
    </row>
    <row r="74" spans="1:12" x14ac:dyDescent="0.15">
      <c r="A74" s="13">
        <v>100269</v>
      </c>
      <c r="B74" s="14" t="s">
        <v>60</v>
      </c>
      <c r="C74" s="9" t="s">
        <v>130</v>
      </c>
      <c r="D74" s="9" t="s">
        <v>208</v>
      </c>
      <c r="E74" s="14" t="s">
        <v>6</v>
      </c>
      <c r="F74" s="9">
        <v>20504670</v>
      </c>
      <c r="G74" s="15">
        <v>2100205046709</v>
      </c>
      <c r="H74" s="9"/>
      <c r="L74" s="20" t="str">
        <f>IFERROR(VLOOKUP(A74,二次製品納品書入力!A:C,3,FALSE),"")</f>
        <v/>
      </c>
    </row>
    <row r="75" spans="1:12" x14ac:dyDescent="0.15">
      <c r="A75" s="13">
        <v>100270</v>
      </c>
      <c r="B75" s="14" t="s">
        <v>60</v>
      </c>
      <c r="C75" s="9" t="s">
        <v>131</v>
      </c>
      <c r="D75" s="9" t="s">
        <v>209</v>
      </c>
      <c r="E75" s="14" t="s">
        <v>6</v>
      </c>
      <c r="F75" s="9">
        <v>20504687</v>
      </c>
      <c r="G75" s="15">
        <v>2100205046877</v>
      </c>
      <c r="H75" s="9"/>
      <c r="L75" s="20" t="str">
        <f>IFERROR(VLOOKUP(A75,二次製品納品書入力!A:C,3,FALSE),"")</f>
        <v/>
      </c>
    </row>
    <row r="76" spans="1:12" x14ac:dyDescent="0.15">
      <c r="A76" s="13">
        <v>100271</v>
      </c>
      <c r="B76" s="14" t="s">
        <v>60</v>
      </c>
      <c r="C76" s="9" t="s">
        <v>132</v>
      </c>
      <c r="D76" s="9" t="s">
        <v>210</v>
      </c>
      <c r="E76" s="14" t="s">
        <v>6</v>
      </c>
      <c r="F76" s="9">
        <v>20504694</v>
      </c>
      <c r="G76" s="15">
        <v>2100205046945</v>
      </c>
      <c r="H76" s="9"/>
      <c r="L76" s="20" t="str">
        <f>IFERROR(VLOOKUP(A76,二次製品納品書入力!A:C,3,FALSE),"")</f>
        <v/>
      </c>
    </row>
    <row r="77" spans="1:12" x14ac:dyDescent="0.15">
      <c r="A77" s="13">
        <v>100272</v>
      </c>
      <c r="B77" s="14" t="s">
        <v>60</v>
      </c>
      <c r="C77" s="9" t="s">
        <v>133</v>
      </c>
      <c r="D77" s="9" t="s">
        <v>211</v>
      </c>
      <c r="E77" s="14" t="s">
        <v>6</v>
      </c>
      <c r="F77" s="9">
        <v>20504700</v>
      </c>
      <c r="G77" s="15">
        <v>2100205047003</v>
      </c>
      <c r="H77" s="9"/>
      <c r="L77" s="20" t="str">
        <f>IFERROR(VLOOKUP(A77,二次製品納品書入力!A:C,3,FALSE),"")</f>
        <v/>
      </c>
    </row>
  </sheetData>
  <sheetProtection selectLockedCells="1"/>
  <phoneticPr fontId="7"/>
  <dataValidations count="5">
    <dataValidation type="list" imeMode="disabled" allowBlank="1" showErrorMessage="1" sqref="B2">
      <formula1>"丸健,マツモト産業,MKL"</formula1>
    </dataValidation>
    <dataValidation type="list" allowBlank="1" showInputMessage="1" showErrorMessage="1" sqref="I5">
      <formula1>"確定,仮"</formula1>
    </dataValidation>
    <dataValidation type="list" allowBlank="1" showInputMessage="1" showErrorMessage="1" sqref="H5">
      <formula1>"入庫,出庫"</formula1>
    </dataValidation>
    <dataValidation type="list" allowBlank="1" showInputMessage="1" showErrorMessage="1" sqref="H4">
      <formula1>"丸健,マツモト産業,MKL,興和日東,西村"</formula1>
    </dataValidation>
    <dataValidation type="list" allowBlank="1" showInputMessage="1" showErrorMessage="1" sqref="H3">
      <formula1>"丸健,マツモト産業,MKL,興和日東,西村,ナフコ"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呼び出し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1771650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5" name="Button 9">
              <controlPr defaultSize="0" print="0" autoFill="0" autoPict="0" macro="[0]!登録">
                <anchor>
                  <from>
                    <xdr:col>6</xdr:col>
                    <xdr:colOff>314325</xdr:colOff>
                    <xdr:row>0</xdr:row>
                    <xdr:rowOff>0</xdr:rowOff>
                  </from>
                  <to>
                    <xdr:col>7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Fill="0" autoPict="0" macro="[0]!クリア">
                <anchor>
                  <from>
                    <xdr:col>4</xdr:col>
                    <xdr:colOff>904875</xdr:colOff>
                    <xdr:row>0</xdr:row>
                    <xdr:rowOff>0</xdr:rowOff>
                  </from>
                  <to>
                    <xdr:col>6</xdr:col>
                    <xdr:colOff>104775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77"/>
  <sheetViews>
    <sheetView workbookViewId="0">
      <selection activeCell="H6" sqref="H6"/>
    </sheetView>
  </sheetViews>
  <sheetFormatPr defaultRowHeight="17.25" x14ac:dyDescent="0.15"/>
  <cols>
    <col min="1" max="1" width="13.125" style="3" bestFit="1" customWidth="1"/>
    <col min="2" max="2" width="14.625" style="3" bestFit="1" customWidth="1"/>
    <col min="3" max="3" width="41.875" style="2" bestFit="1" customWidth="1"/>
    <col min="4" max="4" width="21.375" style="2" bestFit="1" customWidth="1"/>
    <col min="5" max="5" width="14.625" style="3" bestFit="1" customWidth="1"/>
    <col min="6" max="6" width="13.125" style="2" bestFit="1" customWidth="1"/>
    <col min="7" max="7" width="18.875" style="4" bestFit="1" customWidth="1"/>
    <col min="8" max="8" width="12.5" style="2" customWidth="1"/>
    <col min="9" max="9" width="12.875" style="2" bestFit="1" customWidth="1"/>
    <col min="10" max="10" width="10.5" style="2" bestFit="1" customWidth="1"/>
    <col min="11" max="16384" width="9" style="2"/>
  </cols>
  <sheetData>
    <row r="1" spans="1:9" x14ac:dyDescent="0.15">
      <c r="A1" s="2" t="s">
        <v>51</v>
      </c>
      <c r="B1" s="17">
        <v>42378</v>
      </c>
    </row>
    <row r="2" spans="1:9" x14ac:dyDescent="0.15">
      <c r="A2" s="2" t="s">
        <v>33</v>
      </c>
      <c r="B2" s="18" t="s">
        <v>6</v>
      </c>
    </row>
    <row r="3" spans="1:9" x14ac:dyDescent="0.15">
      <c r="A3" s="2" t="s">
        <v>34</v>
      </c>
      <c r="B3" s="3" t="s">
        <v>134</v>
      </c>
      <c r="H3" s="2" t="s">
        <v>139</v>
      </c>
      <c r="I3" s="2" t="s">
        <v>137</v>
      </c>
    </row>
    <row r="4" spans="1:9" x14ac:dyDescent="0.15">
      <c r="H4" s="2" t="s">
        <v>6</v>
      </c>
      <c r="I4" s="2" t="s">
        <v>138</v>
      </c>
    </row>
    <row r="5" spans="1:9" ht="24.75" customHeight="1" x14ac:dyDescent="0.15">
      <c r="A5" s="5" t="s">
        <v>42</v>
      </c>
      <c r="B5" s="6" t="s">
        <v>43</v>
      </c>
      <c r="C5" s="6" t="s">
        <v>44</v>
      </c>
      <c r="D5" s="6" t="s">
        <v>45</v>
      </c>
      <c r="E5" s="6" t="s">
        <v>46</v>
      </c>
      <c r="F5" s="6" t="s">
        <v>47</v>
      </c>
      <c r="G5" s="7" t="s">
        <v>48</v>
      </c>
      <c r="H5" s="6" t="s">
        <v>135</v>
      </c>
      <c r="I5" s="2" t="s">
        <v>136</v>
      </c>
    </row>
    <row r="6" spans="1:9" ht="24.75" customHeight="1" x14ac:dyDescent="0.15">
      <c r="A6" s="13">
        <v>100101</v>
      </c>
      <c r="B6" s="14" t="s">
        <v>35</v>
      </c>
      <c r="C6" s="9" t="s">
        <v>8</v>
      </c>
      <c r="D6" s="9" t="s">
        <v>15</v>
      </c>
      <c r="E6" s="14" t="s">
        <v>6</v>
      </c>
      <c r="F6" s="9">
        <v>20452438</v>
      </c>
      <c r="G6" s="15">
        <v>4573244730010</v>
      </c>
      <c r="H6" s="9"/>
    </row>
    <row r="7" spans="1:9" ht="24.75" customHeight="1" x14ac:dyDescent="0.15">
      <c r="A7" s="13">
        <v>100102</v>
      </c>
      <c r="B7" s="14" t="s">
        <v>35</v>
      </c>
      <c r="C7" s="9" t="s">
        <v>9</v>
      </c>
      <c r="D7" s="9" t="s">
        <v>16</v>
      </c>
      <c r="E7" s="14" t="s">
        <v>6</v>
      </c>
      <c r="F7" s="9">
        <v>20452445</v>
      </c>
      <c r="G7" s="15">
        <v>4573244730027</v>
      </c>
      <c r="H7" s="9"/>
    </row>
    <row r="8" spans="1:9" ht="24.75" customHeight="1" x14ac:dyDescent="0.15">
      <c r="A8" s="13">
        <v>100103</v>
      </c>
      <c r="B8" s="14" t="s">
        <v>35</v>
      </c>
      <c r="C8" s="9" t="s">
        <v>31</v>
      </c>
      <c r="D8" s="9" t="s">
        <v>32</v>
      </c>
      <c r="E8" s="14" t="s">
        <v>6</v>
      </c>
      <c r="F8" s="9">
        <v>20452452</v>
      </c>
      <c r="G8" s="15">
        <v>4573244730034</v>
      </c>
      <c r="H8" s="9"/>
    </row>
    <row r="9" spans="1:9" ht="24.75" customHeight="1" x14ac:dyDescent="0.15">
      <c r="A9" s="13">
        <v>100104</v>
      </c>
      <c r="B9" s="14" t="s">
        <v>35</v>
      </c>
      <c r="C9" s="9" t="s">
        <v>54</v>
      </c>
      <c r="D9" s="9" t="s">
        <v>55</v>
      </c>
      <c r="E9" s="14" t="s">
        <v>6</v>
      </c>
      <c r="F9" s="9">
        <v>20461942</v>
      </c>
      <c r="G9" s="15">
        <v>4573244730126</v>
      </c>
      <c r="H9" s="9"/>
    </row>
    <row r="10" spans="1:9" ht="24.75" customHeight="1" x14ac:dyDescent="0.15">
      <c r="A10" s="13">
        <v>100105</v>
      </c>
      <c r="B10" s="14" t="s">
        <v>35</v>
      </c>
      <c r="C10" s="9" t="s">
        <v>11</v>
      </c>
      <c r="D10" s="9" t="s">
        <v>12</v>
      </c>
      <c r="E10" s="14" t="s">
        <v>6</v>
      </c>
      <c r="F10" s="9">
        <v>20452469</v>
      </c>
      <c r="G10" s="15">
        <v>4573244730041</v>
      </c>
      <c r="H10" s="9"/>
    </row>
    <row r="11" spans="1:9" ht="24.75" customHeight="1" x14ac:dyDescent="0.15">
      <c r="A11" s="13">
        <v>100106</v>
      </c>
      <c r="B11" s="14" t="s">
        <v>35</v>
      </c>
      <c r="C11" s="9" t="s">
        <v>26</v>
      </c>
      <c r="D11" s="9" t="s">
        <v>27</v>
      </c>
      <c r="E11" s="14" t="s">
        <v>6</v>
      </c>
      <c r="F11" s="9">
        <v>20452476</v>
      </c>
      <c r="G11" s="15">
        <v>4573244730058</v>
      </c>
      <c r="H11" s="9"/>
    </row>
    <row r="12" spans="1:9" ht="24.75" customHeight="1" x14ac:dyDescent="0.15">
      <c r="A12" s="13">
        <v>100107</v>
      </c>
      <c r="B12" s="14" t="s">
        <v>35</v>
      </c>
      <c r="C12" s="9" t="s">
        <v>22</v>
      </c>
      <c r="D12" s="9" t="s">
        <v>23</v>
      </c>
      <c r="E12" s="14" t="s">
        <v>6</v>
      </c>
      <c r="F12" s="9">
        <v>20452483</v>
      </c>
      <c r="G12" s="15">
        <v>4573244730065</v>
      </c>
      <c r="H12" s="9"/>
    </row>
    <row r="13" spans="1:9" ht="24.75" customHeight="1" x14ac:dyDescent="0.15">
      <c r="A13" s="13">
        <v>100108</v>
      </c>
      <c r="B13" s="14" t="s">
        <v>35</v>
      </c>
      <c r="C13" s="9" t="s">
        <v>56</v>
      </c>
      <c r="D13" s="9" t="s">
        <v>57</v>
      </c>
      <c r="E13" s="14" t="s">
        <v>6</v>
      </c>
      <c r="F13" s="9">
        <v>20461959</v>
      </c>
      <c r="G13" s="15">
        <v>4573244730133</v>
      </c>
      <c r="H13" s="9"/>
    </row>
    <row r="14" spans="1:9" ht="24.75" customHeight="1" x14ac:dyDescent="0.15">
      <c r="A14" s="13">
        <v>100109</v>
      </c>
      <c r="B14" s="14" t="s">
        <v>35</v>
      </c>
      <c r="C14" s="9" t="s">
        <v>37</v>
      </c>
      <c r="D14" s="9" t="s">
        <v>38</v>
      </c>
      <c r="E14" s="14" t="s">
        <v>6</v>
      </c>
      <c r="F14" s="9">
        <v>20452490</v>
      </c>
      <c r="G14" s="15">
        <v>4573244730072</v>
      </c>
      <c r="H14" s="9"/>
    </row>
    <row r="15" spans="1:9" ht="24.75" customHeight="1" x14ac:dyDescent="0.15">
      <c r="A15" s="13">
        <v>100110</v>
      </c>
      <c r="B15" s="14" t="s">
        <v>35</v>
      </c>
      <c r="C15" s="16" t="s">
        <v>17</v>
      </c>
      <c r="D15" s="9" t="s">
        <v>18</v>
      </c>
      <c r="E15" s="14" t="s">
        <v>6</v>
      </c>
      <c r="F15" s="9">
        <v>20452506</v>
      </c>
      <c r="G15" s="15">
        <v>4573244730089</v>
      </c>
      <c r="H15" s="9"/>
    </row>
    <row r="16" spans="1:9" ht="24.75" customHeight="1" x14ac:dyDescent="0.15">
      <c r="A16" s="13">
        <v>100111</v>
      </c>
      <c r="B16" s="14" t="s">
        <v>35</v>
      </c>
      <c r="C16" s="9" t="s">
        <v>29</v>
      </c>
      <c r="D16" s="9" t="s">
        <v>30</v>
      </c>
      <c r="E16" s="14" t="s">
        <v>6</v>
      </c>
      <c r="F16" s="9">
        <v>20452513</v>
      </c>
      <c r="G16" s="15">
        <v>4573244730096</v>
      </c>
      <c r="H16" s="9"/>
    </row>
    <row r="17" spans="1:8" ht="24.75" customHeight="1" x14ac:dyDescent="0.15">
      <c r="A17" s="13">
        <v>100112</v>
      </c>
      <c r="B17" s="14" t="s">
        <v>35</v>
      </c>
      <c r="C17" s="9" t="s">
        <v>10</v>
      </c>
      <c r="D17" s="9" t="s">
        <v>28</v>
      </c>
      <c r="E17" s="14" t="s">
        <v>6</v>
      </c>
      <c r="F17" s="9">
        <v>20452520</v>
      </c>
      <c r="G17" s="15">
        <v>4573244730102</v>
      </c>
      <c r="H17" s="9"/>
    </row>
    <row r="18" spans="1:8" ht="24.75" customHeight="1" x14ac:dyDescent="0.15">
      <c r="A18" s="13">
        <v>100113</v>
      </c>
      <c r="B18" s="14" t="s">
        <v>35</v>
      </c>
      <c r="C18" s="9" t="s">
        <v>58</v>
      </c>
      <c r="D18" s="9" t="s">
        <v>59</v>
      </c>
      <c r="E18" s="14" t="s">
        <v>6</v>
      </c>
      <c r="F18" s="9">
        <v>20461966</v>
      </c>
      <c r="G18" s="15">
        <v>4573244730140</v>
      </c>
      <c r="H18" s="9"/>
    </row>
    <row r="19" spans="1:8" ht="24.75" customHeight="1" x14ac:dyDescent="0.15">
      <c r="A19" s="13"/>
      <c r="B19" s="14"/>
      <c r="C19" s="9"/>
      <c r="D19" s="9"/>
      <c r="E19" s="14"/>
      <c r="F19" s="9"/>
      <c r="G19" s="15"/>
      <c r="H19" s="9"/>
    </row>
    <row r="20" spans="1:8" ht="24.75" customHeight="1" x14ac:dyDescent="0.15">
      <c r="A20" s="13"/>
      <c r="B20" s="14"/>
      <c r="C20" s="9"/>
      <c r="D20" s="9"/>
      <c r="E20" s="14"/>
      <c r="F20" s="9"/>
      <c r="G20" s="15"/>
      <c r="H20" s="9"/>
    </row>
    <row r="21" spans="1:8" ht="24.75" customHeight="1" x14ac:dyDescent="0.15">
      <c r="A21" s="13"/>
      <c r="B21" s="14"/>
      <c r="C21" s="9"/>
      <c r="D21" s="9"/>
      <c r="E21" s="14"/>
      <c r="F21" s="9"/>
      <c r="G21" s="15"/>
      <c r="H21" s="9"/>
    </row>
    <row r="22" spans="1:8" ht="24.75" customHeight="1" x14ac:dyDescent="0.15">
      <c r="A22" s="13"/>
      <c r="B22" s="14"/>
      <c r="C22" s="9"/>
      <c r="D22" s="9"/>
      <c r="E22" s="14"/>
      <c r="F22" s="9"/>
      <c r="G22" s="15"/>
      <c r="H22" s="9"/>
    </row>
    <row r="23" spans="1:8" ht="24.75" customHeight="1" x14ac:dyDescent="0.15">
      <c r="A23" s="13"/>
      <c r="B23" s="14"/>
      <c r="C23" s="9"/>
      <c r="D23" s="9"/>
      <c r="E23" s="14"/>
      <c r="F23" s="9"/>
      <c r="G23" s="15"/>
      <c r="H23" s="9"/>
    </row>
    <row r="24" spans="1:8" ht="24.75" customHeight="1" x14ac:dyDescent="0.15">
      <c r="A24" s="13"/>
      <c r="B24" s="14"/>
      <c r="C24" s="9"/>
      <c r="D24" s="9"/>
      <c r="E24" s="14"/>
      <c r="F24" s="9"/>
      <c r="G24" s="15"/>
      <c r="H24" s="9"/>
    </row>
    <row r="25" spans="1:8" ht="24.75" customHeight="1" x14ac:dyDescent="0.15">
      <c r="A25" s="13"/>
      <c r="B25" s="14"/>
      <c r="C25" s="9"/>
      <c r="D25" s="9"/>
      <c r="E25" s="14"/>
      <c r="F25" s="9"/>
      <c r="G25" s="15"/>
      <c r="H25" s="9"/>
    </row>
    <row r="26" spans="1:8" x14ac:dyDescent="0.15">
      <c r="A26" s="13"/>
      <c r="B26" s="14"/>
      <c r="C26" s="9"/>
      <c r="D26" s="9"/>
      <c r="E26" s="14"/>
      <c r="F26" s="9"/>
      <c r="G26" s="15"/>
      <c r="H26" s="9"/>
    </row>
    <row r="27" spans="1:8" x14ac:dyDescent="0.15">
      <c r="A27" s="13"/>
      <c r="B27" s="14"/>
      <c r="C27" s="9"/>
      <c r="D27" s="9"/>
      <c r="E27" s="14"/>
      <c r="F27" s="9"/>
      <c r="G27" s="15"/>
      <c r="H27" s="9"/>
    </row>
    <row r="28" spans="1:8" x14ac:dyDescent="0.15">
      <c r="A28" s="13"/>
      <c r="B28" s="14"/>
      <c r="C28" s="9"/>
      <c r="D28" s="9"/>
      <c r="E28" s="14"/>
      <c r="F28" s="9"/>
      <c r="G28" s="15"/>
      <c r="H28" s="9"/>
    </row>
    <row r="29" spans="1:8" x14ac:dyDescent="0.15">
      <c r="A29" s="13"/>
      <c r="B29" s="14"/>
      <c r="C29" s="9"/>
      <c r="D29" s="9"/>
      <c r="E29" s="14"/>
      <c r="F29" s="9"/>
      <c r="G29" s="15"/>
      <c r="H29" s="9"/>
    </row>
    <row r="30" spans="1:8" x14ac:dyDescent="0.15">
      <c r="A30" s="13"/>
      <c r="B30" s="14"/>
      <c r="C30" s="9"/>
      <c r="D30" s="9"/>
      <c r="E30" s="14"/>
      <c r="F30" s="9"/>
      <c r="G30" s="15"/>
      <c r="H30" s="9"/>
    </row>
    <row r="31" spans="1:8" x14ac:dyDescent="0.15">
      <c r="A31" s="13"/>
      <c r="B31" s="14"/>
      <c r="C31" s="9"/>
      <c r="D31" s="9"/>
      <c r="E31" s="14"/>
      <c r="F31" s="9"/>
      <c r="G31" s="15"/>
      <c r="H31" s="9"/>
    </row>
    <row r="32" spans="1:8" x14ac:dyDescent="0.15">
      <c r="A32" s="13"/>
      <c r="B32" s="14"/>
      <c r="C32" s="9"/>
      <c r="D32" s="9"/>
      <c r="E32" s="14"/>
      <c r="F32" s="9"/>
      <c r="G32" s="15"/>
      <c r="H32" s="9"/>
    </row>
    <row r="33" spans="1:8" x14ac:dyDescent="0.15">
      <c r="A33" s="13"/>
      <c r="B33" s="14"/>
      <c r="C33" s="9"/>
      <c r="D33" s="9"/>
      <c r="E33" s="14"/>
      <c r="F33" s="9"/>
      <c r="G33" s="15"/>
      <c r="H33" s="9"/>
    </row>
    <row r="34" spans="1:8" x14ac:dyDescent="0.15">
      <c r="A34" s="13"/>
      <c r="B34" s="14"/>
      <c r="C34" s="9"/>
      <c r="D34" s="9"/>
      <c r="E34" s="14"/>
      <c r="F34" s="9"/>
      <c r="G34" s="15"/>
      <c r="H34" s="9"/>
    </row>
    <row r="35" spans="1:8" x14ac:dyDescent="0.15">
      <c r="A35" s="13"/>
      <c r="B35" s="14"/>
      <c r="C35" s="9"/>
      <c r="D35" s="9"/>
      <c r="E35" s="14"/>
      <c r="F35" s="9"/>
      <c r="G35" s="15"/>
      <c r="H35" s="9"/>
    </row>
    <row r="36" spans="1:8" x14ac:dyDescent="0.15">
      <c r="A36" s="13"/>
      <c r="B36" s="14"/>
      <c r="C36" s="9"/>
      <c r="D36" s="9"/>
      <c r="E36" s="14"/>
      <c r="F36" s="9"/>
      <c r="G36" s="15"/>
      <c r="H36" s="9"/>
    </row>
    <row r="37" spans="1:8" x14ac:dyDescent="0.15">
      <c r="A37" s="13"/>
      <c r="B37" s="14"/>
      <c r="C37" s="9"/>
      <c r="D37" s="9"/>
      <c r="E37" s="14"/>
      <c r="F37" s="9"/>
      <c r="G37" s="15"/>
      <c r="H37" s="9"/>
    </row>
    <row r="38" spans="1:8" x14ac:dyDescent="0.15">
      <c r="A38" s="13"/>
      <c r="B38" s="14"/>
      <c r="C38" s="9"/>
      <c r="D38" s="9"/>
      <c r="E38" s="14"/>
      <c r="F38" s="9"/>
      <c r="G38" s="15"/>
      <c r="H38" s="9"/>
    </row>
    <row r="39" spans="1:8" x14ac:dyDescent="0.15">
      <c r="A39" s="13"/>
      <c r="B39" s="14"/>
      <c r="C39" s="9"/>
      <c r="D39" s="9"/>
      <c r="E39" s="14"/>
      <c r="F39" s="9"/>
      <c r="G39" s="15"/>
      <c r="H39" s="9"/>
    </row>
    <row r="40" spans="1:8" x14ac:dyDescent="0.15">
      <c r="A40" s="13"/>
      <c r="B40" s="14"/>
      <c r="C40" s="9"/>
      <c r="D40" s="9"/>
      <c r="E40" s="14"/>
      <c r="F40" s="9"/>
      <c r="G40" s="15"/>
      <c r="H40" s="9"/>
    </row>
    <row r="41" spans="1:8" x14ac:dyDescent="0.15">
      <c r="A41" s="13"/>
      <c r="B41" s="14"/>
      <c r="C41" s="9"/>
      <c r="D41" s="9"/>
      <c r="E41" s="14"/>
      <c r="F41" s="9"/>
      <c r="G41" s="15"/>
      <c r="H41" s="9"/>
    </row>
    <row r="42" spans="1:8" x14ac:dyDescent="0.15">
      <c r="A42" s="13"/>
      <c r="B42" s="14"/>
      <c r="C42" s="9"/>
      <c r="D42" s="9"/>
      <c r="E42" s="14"/>
      <c r="F42" s="9"/>
      <c r="G42" s="15"/>
      <c r="H42" s="9"/>
    </row>
    <row r="43" spans="1:8" x14ac:dyDescent="0.15">
      <c r="A43" s="13"/>
      <c r="B43" s="14"/>
      <c r="C43" s="9"/>
      <c r="D43" s="9"/>
      <c r="E43" s="14"/>
      <c r="F43" s="9"/>
      <c r="G43" s="15"/>
      <c r="H43" s="9"/>
    </row>
    <row r="44" spans="1:8" x14ac:dyDescent="0.15">
      <c r="A44" s="13"/>
      <c r="B44" s="14"/>
      <c r="C44" s="9"/>
      <c r="D44" s="9"/>
      <c r="E44" s="14"/>
      <c r="F44" s="9"/>
      <c r="G44" s="15"/>
      <c r="H44" s="9"/>
    </row>
    <row r="45" spans="1:8" x14ac:dyDescent="0.15">
      <c r="A45" s="13"/>
      <c r="B45" s="14"/>
      <c r="C45" s="9"/>
      <c r="D45" s="9"/>
      <c r="E45" s="14"/>
      <c r="F45" s="9"/>
      <c r="G45" s="15"/>
      <c r="H45" s="9"/>
    </row>
    <row r="46" spans="1:8" x14ac:dyDescent="0.15">
      <c r="A46" s="13"/>
      <c r="B46" s="14"/>
      <c r="C46" s="9"/>
      <c r="D46" s="9"/>
      <c r="E46" s="14"/>
      <c r="F46" s="9"/>
      <c r="G46" s="15"/>
      <c r="H46" s="9"/>
    </row>
    <row r="47" spans="1:8" x14ac:dyDescent="0.15">
      <c r="A47" s="13"/>
      <c r="B47" s="14"/>
      <c r="C47" s="9"/>
      <c r="D47" s="9"/>
      <c r="E47" s="14"/>
      <c r="F47" s="9"/>
      <c r="G47" s="15"/>
      <c r="H47" s="9"/>
    </row>
    <row r="48" spans="1:8" x14ac:dyDescent="0.15">
      <c r="A48" s="13"/>
      <c r="B48" s="14"/>
      <c r="C48" s="9"/>
      <c r="D48" s="9"/>
      <c r="E48" s="14"/>
      <c r="F48" s="9"/>
      <c r="G48" s="15"/>
      <c r="H48" s="9"/>
    </row>
    <row r="49" spans="1:8" x14ac:dyDescent="0.15">
      <c r="A49" s="13"/>
      <c r="B49" s="14"/>
      <c r="C49" s="9"/>
      <c r="D49" s="9"/>
      <c r="E49" s="14"/>
      <c r="F49" s="9"/>
      <c r="G49" s="15"/>
      <c r="H49" s="9"/>
    </row>
    <row r="50" spans="1:8" x14ac:dyDescent="0.15">
      <c r="A50" s="13"/>
      <c r="B50" s="14"/>
      <c r="C50" s="9"/>
      <c r="D50" s="9"/>
      <c r="E50" s="14"/>
      <c r="F50" s="9"/>
      <c r="G50" s="15"/>
      <c r="H50" s="9"/>
    </row>
    <row r="51" spans="1:8" x14ac:dyDescent="0.15">
      <c r="A51" s="13"/>
      <c r="B51" s="14"/>
      <c r="C51" s="9"/>
      <c r="D51" s="9"/>
      <c r="E51" s="14"/>
      <c r="F51" s="9"/>
      <c r="G51" s="15"/>
      <c r="H51" s="9"/>
    </row>
    <row r="52" spans="1:8" x14ac:dyDescent="0.15">
      <c r="A52" s="13"/>
      <c r="B52" s="14"/>
      <c r="C52" s="9"/>
      <c r="D52" s="9"/>
      <c r="E52" s="14"/>
      <c r="F52" s="9"/>
      <c r="G52" s="15"/>
      <c r="H52" s="9"/>
    </row>
    <row r="53" spans="1:8" x14ac:dyDescent="0.15">
      <c r="A53" s="13"/>
      <c r="B53" s="14"/>
      <c r="C53" s="9"/>
      <c r="D53" s="9"/>
      <c r="E53" s="14"/>
      <c r="F53" s="9"/>
      <c r="G53" s="15"/>
      <c r="H53" s="9"/>
    </row>
    <row r="54" spans="1:8" x14ac:dyDescent="0.15">
      <c r="A54" s="13"/>
      <c r="B54" s="14"/>
      <c r="C54" s="9"/>
      <c r="D54" s="9"/>
      <c r="E54" s="14"/>
      <c r="F54" s="9"/>
      <c r="G54" s="15"/>
      <c r="H54" s="9"/>
    </row>
    <row r="55" spans="1:8" x14ac:dyDescent="0.15">
      <c r="A55" s="13"/>
      <c r="B55" s="14"/>
      <c r="C55" s="9"/>
      <c r="D55" s="9"/>
      <c r="E55" s="14"/>
      <c r="F55" s="9"/>
      <c r="G55" s="15"/>
      <c r="H55" s="9"/>
    </row>
    <row r="56" spans="1:8" x14ac:dyDescent="0.15">
      <c r="A56" s="13"/>
      <c r="B56" s="14"/>
      <c r="C56" s="9"/>
      <c r="D56" s="9"/>
      <c r="E56" s="14"/>
      <c r="F56" s="9"/>
      <c r="G56" s="15"/>
      <c r="H56" s="9"/>
    </row>
    <row r="57" spans="1:8" x14ac:dyDescent="0.15">
      <c r="A57" s="13"/>
      <c r="B57" s="14"/>
      <c r="C57" s="9"/>
      <c r="D57" s="9"/>
      <c r="E57" s="14"/>
      <c r="F57" s="9"/>
      <c r="G57" s="15"/>
      <c r="H57" s="9"/>
    </row>
    <row r="58" spans="1:8" x14ac:dyDescent="0.15">
      <c r="A58" s="13"/>
      <c r="B58" s="14"/>
      <c r="C58" s="9"/>
      <c r="D58" s="9"/>
      <c r="E58" s="14"/>
      <c r="F58" s="9"/>
      <c r="G58" s="15"/>
      <c r="H58" s="9"/>
    </row>
    <row r="59" spans="1:8" x14ac:dyDescent="0.15">
      <c r="A59" s="13"/>
      <c r="B59" s="14"/>
      <c r="C59" s="9"/>
      <c r="D59" s="9"/>
      <c r="E59" s="14"/>
      <c r="F59" s="9"/>
      <c r="G59" s="15"/>
      <c r="H59" s="9"/>
    </row>
    <row r="60" spans="1:8" x14ac:dyDescent="0.15">
      <c r="A60" s="13"/>
      <c r="B60" s="14"/>
      <c r="C60" s="9"/>
      <c r="D60" s="9"/>
      <c r="E60" s="14"/>
      <c r="F60" s="9"/>
      <c r="G60" s="15"/>
      <c r="H60" s="9"/>
    </row>
    <row r="61" spans="1:8" x14ac:dyDescent="0.15">
      <c r="A61" s="13"/>
      <c r="B61" s="14"/>
      <c r="C61" s="9"/>
      <c r="D61" s="9"/>
      <c r="E61" s="14"/>
      <c r="F61" s="9"/>
      <c r="G61" s="15"/>
      <c r="H61" s="9"/>
    </row>
    <row r="62" spans="1:8" x14ac:dyDescent="0.15">
      <c r="A62" s="13"/>
      <c r="B62" s="14"/>
      <c r="C62" s="9"/>
      <c r="D62" s="9"/>
      <c r="E62" s="14"/>
      <c r="F62" s="9"/>
      <c r="G62" s="15"/>
      <c r="H62" s="9"/>
    </row>
    <row r="63" spans="1:8" x14ac:dyDescent="0.15">
      <c r="A63" s="13"/>
      <c r="B63" s="14"/>
      <c r="C63" s="9"/>
      <c r="D63" s="9"/>
      <c r="E63" s="14"/>
      <c r="F63" s="9"/>
      <c r="G63" s="15"/>
      <c r="H63" s="9"/>
    </row>
    <row r="64" spans="1:8" x14ac:dyDescent="0.15">
      <c r="A64" s="13"/>
      <c r="B64" s="14"/>
      <c r="C64" s="9"/>
      <c r="D64" s="9"/>
      <c r="E64" s="14"/>
      <c r="F64" s="9"/>
      <c r="G64" s="15"/>
      <c r="H64" s="9"/>
    </row>
    <row r="65" spans="1:8" x14ac:dyDescent="0.15">
      <c r="A65" s="13"/>
      <c r="B65" s="14"/>
      <c r="C65" s="9"/>
      <c r="D65" s="9"/>
      <c r="E65" s="14"/>
      <c r="F65" s="9"/>
      <c r="G65" s="15"/>
      <c r="H65" s="9"/>
    </row>
    <row r="66" spans="1:8" x14ac:dyDescent="0.15">
      <c r="A66" s="13"/>
      <c r="B66" s="14"/>
      <c r="C66" s="9"/>
      <c r="D66" s="9"/>
      <c r="E66" s="14"/>
      <c r="F66" s="9"/>
      <c r="G66" s="15"/>
      <c r="H66" s="9"/>
    </row>
    <row r="67" spans="1:8" x14ac:dyDescent="0.15">
      <c r="A67" s="13"/>
      <c r="B67" s="14"/>
      <c r="C67" s="9"/>
      <c r="D67" s="9"/>
      <c r="E67" s="14"/>
      <c r="F67" s="9"/>
      <c r="G67" s="15"/>
      <c r="H67" s="9"/>
    </row>
    <row r="68" spans="1:8" x14ac:dyDescent="0.15">
      <c r="A68" s="13"/>
      <c r="B68" s="14"/>
      <c r="C68" s="9"/>
      <c r="D68" s="9"/>
      <c r="E68" s="14"/>
      <c r="F68" s="9"/>
      <c r="G68" s="15"/>
      <c r="H68" s="9"/>
    </row>
    <row r="69" spans="1:8" x14ac:dyDescent="0.15">
      <c r="A69" s="13"/>
      <c r="B69" s="14"/>
      <c r="C69" s="9"/>
      <c r="D69" s="9"/>
      <c r="E69" s="14"/>
      <c r="F69" s="9"/>
      <c r="G69" s="15"/>
      <c r="H69" s="9"/>
    </row>
    <row r="70" spans="1:8" x14ac:dyDescent="0.15">
      <c r="A70" s="13"/>
      <c r="B70" s="14"/>
      <c r="C70" s="9"/>
      <c r="D70" s="9"/>
      <c r="E70" s="14"/>
      <c r="F70" s="9"/>
      <c r="G70" s="15"/>
      <c r="H70" s="9"/>
    </row>
    <row r="71" spans="1:8" x14ac:dyDescent="0.15">
      <c r="A71" s="13"/>
      <c r="B71" s="14"/>
      <c r="C71" s="9"/>
      <c r="D71" s="9"/>
      <c r="E71" s="14"/>
      <c r="F71" s="9"/>
      <c r="G71" s="15"/>
      <c r="H71" s="9"/>
    </row>
    <row r="72" spans="1:8" x14ac:dyDescent="0.15">
      <c r="A72" s="13"/>
      <c r="B72" s="14"/>
      <c r="C72" s="9"/>
      <c r="D72" s="9"/>
      <c r="E72" s="14"/>
      <c r="F72" s="9"/>
      <c r="G72" s="15"/>
      <c r="H72" s="9"/>
    </row>
    <row r="73" spans="1:8" x14ac:dyDescent="0.15">
      <c r="A73" s="13"/>
      <c r="B73" s="14"/>
      <c r="C73" s="9"/>
      <c r="D73" s="9"/>
      <c r="E73" s="14"/>
      <c r="F73" s="9"/>
      <c r="G73" s="15"/>
      <c r="H73" s="9"/>
    </row>
    <row r="74" spans="1:8" x14ac:dyDescent="0.15">
      <c r="A74" s="13"/>
      <c r="B74" s="14"/>
      <c r="C74" s="9"/>
      <c r="D74" s="9"/>
      <c r="E74" s="14"/>
      <c r="F74" s="9"/>
      <c r="G74" s="15"/>
      <c r="H74" s="9"/>
    </row>
    <row r="75" spans="1:8" x14ac:dyDescent="0.15">
      <c r="A75" s="13"/>
      <c r="B75" s="14"/>
      <c r="C75" s="9"/>
      <c r="D75" s="9"/>
      <c r="E75" s="14"/>
      <c r="F75" s="9"/>
      <c r="G75" s="15"/>
      <c r="H75" s="9"/>
    </row>
    <row r="76" spans="1:8" x14ac:dyDescent="0.15">
      <c r="A76" s="13"/>
      <c r="B76" s="14"/>
      <c r="C76" s="9"/>
      <c r="D76" s="9"/>
      <c r="E76" s="14"/>
      <c r="F76" s="9"/>
      <c r="G76" s="15"/>
      <c r="H76" s="9"/>
    </row>
    <row r="77" spans="1:8" x14ac:dyDescent="0.15">
      <c r="A77" s="13"/>
      <c r="B77" s="14"/>
      <c r="C77" s="9"/>
      <c r="D77" s="9"/>
      <c r="E77" s="14"/>
      <c r="F77" s="9"/>
      <c r="G77" s="15"/>
      <c r="H77" s="9"/>
    </row>
  </sheetData>
  <sheetProtection selectLockedCells="1"/>
  <phoneticPr fontId="7"/>
  <dataValidations count="5">
    <dataValidation type="list" allowBlank="1" showInputMessage="1" showErrorMessage="1" sqref="H4">
      <formula1>"丸健,マツモト産業,MKL,興和日東,西村"</formula1>
    </dataValidation>
    <dataValidation type="list" allowBlank="1" showInputMessage="1" showErrorMessage="1" sqref="H5">
      <formula1>"入庫,出庫"</formula1>
    </dataValidation>
    <dataValidation type="list" allowBlank="1" showInputMessage="1" showErrorMessage="1" sqref="I5">
      <formula1>"確定,仮"</formula1>
    </dataValidation>
    <dataValidation type="list" imeMode="disabled" allowBlank="1" showErrorMessage="1" sqref="B2">
      <formula1>"丸健,マツモト産業,MKL"</formula1>
    </dataValidation>
    <dataValidation type="list" allowBlank="1" showInputMessage="1" showErrorMessage="1" sqref="H3">
      <formula1>"華天,丸健,マツモト産業,MKL,興和日東,西村"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呼び出し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1771650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登録">
                <anchor>
                  <from>
                    <xdr:col>6</xdr:col>
                    <xdr:colOff>314325</xdr:colOff>
                    <xdr:row>0</xdr:row>
                    <xdr:rowOff>0</xdr:rowOff>
                  </from>
                  <to>
                    <xdr:col>7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クリア">
                <anchor>
                  <from>
                    <xdr:col>4</xdr:col>
                    <xdr:colOff>904875</xdr:colOff>
                    <xdr:row>0</xdr:row>
                    <xdr:rowOff>0</xdr:rowOff>
                  </from>
                  <to>
                    <xdr:col>6</xdr:col>
                    <xdr:colOff>104775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25"/>
  <sheetViews>
    <sheetView workbookViewId="0">
      <selection activeCell="J6" sqref="J6"/>
    </sheetView>
  </sheetViews>
  <sheetFormatPr defaultRowHeight="17.25" x14ac:dyDescent="0.15"/>
  <cols>
    <col min="1" max="1" width="13.125" style="3" bestFit="1" customWidth="1"/>
    <col min="2" max="2" width="14.625" style="3" bestFit="1" customWidth="1"/>
    <col min="3" max="3" width="24.125" style="2" bestFit="1" customWidth="1"/>
    <col min="4" max="4" width="21.375" style="2" bestFit="1" customWidth="1"/>
    <col min="5" max="5" width="14.625" style="3" bestFit="1" customWidth="1"/>
    <col min="6" max="6" width="13.125" style="2" bestFit="1" customWidth="1"/>
    <col min="7" max="7" width="18.875" style="4" bestFit="1" customWidth="1"/>
    <col min="8" max="9" width="11.875" style="2" bestFit="1" customWidth="1"/>
    <col min="10" max="10" width="16.5" style="2" bestFit="1" customWidth="1"/>
    <col min="11" max="11" width="11.875" style="2" customWidth="1"/>
    <col min="12" max="12" width="9.5" style="2" bestFit="1" customWidth="1"/>
    <col min="13" max="13" width="12.875" style="2" bestFit="1" customWidth="1"/>
    <col min="14" max="14" width="15.125" style="2" bestFit="1" customWidth="1"/>
    <col min="15" max="15" width="10.5" style="2" bestFit="1" customWidth="1"/>
    <col min="16" max="16384" width="9" style="2"/>
  </cols>
  <sheetData>
    <row r="1" spans="1:12" x14ac:dyDescent="0.15">
      <c r="A1" s="2" t="s">
        <v>51</v>
      </c>
      <c r="B1" s="1">
        <v>42189</v>
      </c>
    </row>
    <row r="2" spans="1:12" x14ac:dyDescent="0.15">
      <c r="A2" s="2" t="s">
        <v>33</v>
      </c>
      <c r="B2" s="3" t="s">
        <v>6</v>
      </c>
    </row>
    <row r="3" spans="1:12" x14ac:dyDescent="0.15">
      <c r="A3" s="2" t="s">
        <v>34</v>
      </c>
      <c r="B3" s="3" t="s">
        <v>36</v>
      </c>
    </row>
    <row r="5" spans="1:12" ht="24.75" customHeight="1" x14ac:dyDescent="0.15">
      <c r="A5" s="5" t="s">
        <v>42</v>
      </c>
      <c r="B5" s="6" t="s">
        <v>43</v>
      </c>
      <c r="C5" s="6" t="s">
        <v>44</v>
      </c>
      <c r="D5" s="6" t="s">
        <v>45</v>
      </c>
      <c r="E5" s="6" t="s">
        <v>46</v>
      </c>
      <c r="F5" s="6" t="s">
        <v>47</v>
      </c>
      <c r="G5" s="7" t="s">
        <v>48</v>
      </c>
      <c r="H5" s="6" t="s">
        <v>49</v>
      </c>
      <c r="I5" s="8" t="s">
        <v>50</v>
      </c>
      <c r="J5" s="10" t="s">
        <v>53</v>
      </c>
      <c r="K5" s="10" t="s">
        <v>53</v>
      </c>
      <c r="L5" s="10" t="s">
        <v>52</v>
      </c>
    </row>
    <row r="6" spans="1:12" ht="24.75" customHeight="1" x14ac:dyDescent="0.15">
      <c r="A6" s="13">
        <v>100004</v>
      </c>
      <c r="B6" s="14" t="s">
        <v>36</v>
      </c>
      <c r="C6" s="9" t="s">
        <v>0</v>
      </c>
      <c r="D6" s="9" t="s">
        <v>14</v>
      </c>
      <c r="E6" s="14" t="s">
        <v>6</v>
      </c>
      <c r="F6" s="9">
        <v>20378035</v>
      </c>
      <c r="G6" s="15">
        <v>2100203780353</v>
      </c>
      <c r="H6" s="9" t="str">
        <f t="shared" ref="H6:H25" si="0">IF(J6="","",J6*L6)</f>
        <v/>
      </c>
      <c r="I6" s="9" t="str">
        <f>IF(K6="","",K6*L6)</f>
        <v/>
      </c>
      <c r="J6" s="12"/>
      <c r="K6" s="12"/>
      <c r="L6" s="11">
        <v>66</v>
      </c>
    </row>
    <row r="7" spans="1:12" ht="24.75" customHeight="1" x14ac:dyDescent="0.15">
      <c r="A7" s="13">
        <v>100005</v>
      </c>
      <c r="B7" s="14" t="s">
        <v>36</v>
      </c>
      <c r="C7" s="9" t="s">
        <v>1</v>
      </c>
      <c r="D7" s="9" t="s">
        <v>20</v>
      </c>
      <c r="E7" s="14" t="s">
        <v>6</v>
      </c>
      <c r="F7" s="9">
        <v>20388140</v>
      </c>
      <c r="G7" s="15">
        <v>2100203881401</v>
      </c>
      <c r="H7" s="9" t="str">
        <f t="shared" si="0"/>
        <v/>
      </c>
      <c r="I7" s="9" t="str">
        <f t="shared" ref="I7:I14" si="1">IF(K7="","",K7*L7)</f>
        <v/>
      </c>
      <c r="J7" s="12"/>
      <c r="K7" s="12"/>
      <c r="L7" s="11">
        <v>66</v>
      </c>
    </row>
    <row r="8" spans="1:12" ht="24.75" customHeight="1" x14ac:dyDescent="0.15">
      <c r="A8" s="13">
        <v>100006</v>
      </c>
      <c r="B8" s="14" t="s">
        <v>36</v>
      </c>
      <c r="C8" s="9" t="s">
        <v>2</v>
      </c>
      <c r="D8" s="9" t="s">
        <v>19</v>
      </c>
      <c r="E8" s="14" t="s">
        <v>6</v>
      </c>
      <c r="F8" s="9">
        <v>20388645</v>
      </c>
      <c r="G8" s="15">
        <v>2100203886451</v>
      </c>
      <c r="H8" s="9" t="str">
        <f t="shared" si="0"/>
        <v/>
      </c>
      <c r="I8" s="9" t="str">
        <f t="shared" si="1"/>
        <v/>
      </c>
      <c r="J8" s="12"/>
      <c r="K8" s="12"/>
      <c r="L8" s="11">
        <v>66</v>
      </c>
    </row>
    <row r="9" spans="1:12" ht="24.75" customHeight="1" x14ac:dyDescent="0.15">
      <c r="A9" s="13">
        <v>100007</v>
      </c>
      <c r="B9" s="14" t="s">
        <v>36</v>
      </c>
      <c r="C9" s="9" t="s">
        <v>3</v>
      </c>
      <c r="D9" s="9" t="s">
        <v>13</v>
      </c>
      <c r="E9" s="14" t="s">
        <v>6</v>
      </c>
      <c r="F9" s="9">
        <v>20378714</v>
      </c>
      <c r="G9" s="15">
        <v>2100203787147</v>
      </c>
      <c r="H9" s="9" t="str">
        <f t="shared" si="0"/>
        <v/>
      </c>
      <c r="I9" s="9" t="str">
        <f t="shared" si="1"/>
        <v/>
      </c>
      <c r="J9" s="12"/>
      <c r="K9" s="12"/>
      <c r="L9" s="11">
        <v>50</v>
      </c>
    </row>
    <row r="10" spans="1:12" ht="24.75" customHeight="1" x14ac:dyDescent="0.15">
      <c r="A10" s="13">
        <v>100008</v>
      </c>
      <c r="B10" s="14" t="s">
        <v>36</v>
      </c>
      <c r="C10" s="9" t="s">
        <v>4</v>
      </c>
      <c r="D10" s="9" t="s">
        <v>13</v>
      </c>
      <c r="E10" s="14" t="s">
        <v>6</v>
      </c>
      <c r="F10" s="9">
        <v>20378721</v>
      </c>
      <c r="G10" s="15">
        <v>2100203787215</v>
      </c>
      <c r="H10" s="9" t="str">
        <f t="shared" si="0"/>
        <v/>
      </c>
      <c r="I10" s="9" t="str">
        <f t="shared" si="1"/>
        <v/>
      </c>
      <c r="J10" s="12"/>
      <c r="K10" s="12"/>
      <c r="L10" s="11">
        <v>50</v>
      </c>
    </row>
    <row r="11" spans="1:12" ht="24.75" customHeight="1" x14ac:dyDescent="0.15">
      <c r="A11" s="13">
        <v>100013</v>
      </c>
      <c r="B11" s="14" t="s">
        <v>36</v>
      </c>
      <c r="C11" s="16" t="s">
        <v>21</v>
      </c>
      <c r="D11" s="9" t="s">
        <v>7</v>
      </c>
      <c r="E11" s="14" t="s">
        <v>6</v>
      </c>
      <c r="F11" s="9">
        <v>20395896</v>
      </c>
      <c r="G11" s="15">
        <v>2100203958967</v>
      </c>
      <c r="H11" s="9" t="str">
        <f t="shared" si="0"/>
        <v/>
      </c>
      <c r="I11" s="9" t="str">
        <f>IF(K11="","",K11*L11)</f>
        <v/>
      </c>
      <c r="J11" s="12"/>
      <c r="K11" s="12"/>
      <c r="L11" s="11">
        <v>66</v>
      </c>
    </row>
    <row r="12" spans="1:12" ht="24.75" customHeight="1" x14ac:dyDescent="0.15">
      <c r="A12" s="13">
        <v>100014</v>
      </c>
      <c r="B12" s="14" t="s">
        <v>36</v>
      </c>
      <c r="C12" s="9" t="s">
        <v>41</v>
      </c>
      <c r="D12" s="9" t="s">
        <v>7</v>
      </c>
      <c r="E12" s="14" t="s">
        <v>6</v>
      </c>
      <c r="F12" s="9">
        <v>20452421</v>
      </c>
      <c r="G12" s="15">
        <v>2100204524215</v>
      </c>
      <c r="H12" s="9" t="str">
        <f t="shared" si="0"/>
        <v/>
      </c>
      <c r="I12" s="9" t="str">
        <f>IF(K12="","",K12*L12)</f>
        <v/>
      </c>
      <c r="J12" s="12"/>
      <c r="K12" s="12"/>
      <c r="L12" s="11">
        <v>66</v>
      </c>
    </row>
    <row r="13" spans="1:12" ht="24.75" customHeight="1" x14ac:dyDescent="0.15">
      <c r="A13" s="13">
        <v>100011</v>
      </c>
      <c r="B13" s="14" t="s">
        <v>36</v>
      </c>
      <c r="C13" s="9" t="s">
        <v>24</v>
      </c>
      <c r="D13" s="9" t="s">
        <v>7</v>
      </c>
      <c r="E13" s="14" t="s">
        <v>6</v>
      </c>
      <c r="F13" s="9">
        <v>50900008</v>
      </c>
      <c r="G13" s="15">
        <v>4531977003290</v>
      </c>
      <c r="H13" s="9" t="str">
        <f t="shared" si="0"/>
        <v/>
      </c>
      <c r="I13" s="9" t="str">
        <f t="shared" si="1"/>
        <v/>
      </c>
      <c r="J13" s="12"/>
      <c r="K13" s="12"/>
      <c r="L13" s="11">
        <v>66</v>
      </c>
    </row>
    <row r="14" spans="1:12" ht="24.75" customHeight="1" x14ac:dyDescent="0.15">
      <c r="A14" s="13">
        <v>100012</v>
      </c>
      <c r="B14" s="14" t="s">
        <v>36</v>
      </c>
      <c r="C14" s="9" t="s">
        <v>25</v>
      </c>
      <c r="D14" s="9" t="s">
        <v>7</v>
      </c>
      <c r="E14" s="14" t="s">
        <v>6</v>
      </c>
      <c r="F14" s="9">
        <v>50900008</v>
      </c>
      <c r="G14" s="15">
        <v>4531977003306</v>
      </c>
      <c r="H14" s="9" t="str">
        <f t="shared" si="0"/>
        <v/>
      </c>
      <c r="I14" s="9" t="str">
        <f t="shared" si="1"/>
        <v/>
      </c>
      <c r="J14" s="12"/>
      <c r="K14" s="12"/>
      <c r="L14" s="11">
        <v>66</v>
      </c>
    </row>
    <row r="15" spans="1:12" ht="24.75" customHeight="1" x14ac:dyDescent="0.15">
      <c r="A15" s="13">
        <v>100010</v>
      </c>
      <c r="B15" s="14" t="s">
        <v>36</v>
      </c>
      <c r="C15" s="9" t="s">
        <v>40</v>
      </c>
      <c r="D15" s="9" t="s">
        <v>39</v>
      </c>
      <c r="E15" s="14" t="s">
        <v>6</v>
      </c>
      <c r="F15" s="9">
        <v>25036176</v>
      </c>
      <c r="G15" s="15">
        <v>4975160101613</v>
      </c>
      <c r="H15" s="9" t="str">
        <f t="shared" si="0"/>
        <v/>
      </c>
      <c r="I15" s="9" t="str">
        <f>IF(K15="","",K15*L15)</f>
        <v/>
      </c>
      <c r="J15" s="12"/>
      <c r="K15" s="12"/>
      <c r="L15" s="11">
        <v>60</v>
      </c>
    </row>
    <row r="16" spans="1:12" ht="24.75" customHeight="1" x14ac:dyDescent="0.15">
      <c r="A16" s="13">
        <v>100009</v>
      </c>
      <c r="B16" s="14" t="s">
        <v>36</v>
      </c>
      <c r="C16" s="9" t="s">
        <v>5</v>
      </c>
      <c r="D16" s="9" t="s">
        <v>39</v>
      </c>
      <c r="E16" s="14" t="s">
        <v>6</v>
      </c>
      <c r="F16" s="9">
        <v>25036183</v>
      </c>
      <c r="G16" s="15">
        <v>4975160101620</v>
      </c>
      <c r="H16" s="9" t="str">
        <f t="shared" si="0"/>
        <v/>
      </c>
      <c r="I16" s="9" t="str">
        <f>IF(K16="","",K16*L16)</f>
        <v/>
      </c>
      <c r="J16" s="12"/>
      <c r="K16" s="12"/>
      <c r="L16" s="11">
        <v>60</v>
      </c>
    </row>
    <row r="17" spans="1:12" ht="24.75" customHeight="1" x14ac:dyDescent="0.15">
      <c r="A17" s="13"/>
      <c r="B17" s="14"/>
      <c r="C17" s="9"/>
      <c r="D17" s="9"/>
      <c r="E17" s="14"/>
      <c r="F17" s="9"/>
      <c r="G17" s="15"/>
      <c r="H17" s="9" t="str">
        <f t="shared" si="0"/>
        <v/>
      </c>
      <c r="I17" s="9" t="str">
        <f>IF(K17="","",K17*L17)</f>
        <v/>
      </c>
      <c r="J17" s="12"/>
      <c r="K17" s="12"/>
      <c r="L17" s="11"/>
    </row>
    <row r="18" spans="1:12" ht="24.75" customHeight="1" x14ac:dyDescent="0.15">
      <c r="A18" s="13"/>
      <c r="B18" s="14"/>
      <c r="C18" s="9"/>
      <c r="D18" s="9"/>
      <c r="E18" s="14"/>
      <c r="F18" s="9"/>
      <c r="G18" s="15"/>
      <c r="H18" s="9" t="str">
        <f t="shared" si="0"/>
        <v/>
      </c>
      <c r="I18" s="9" t="str">
        <f t="shared" ref="I18:I25" si="2">IF(K18="","",K18*L18)</f>
        <v/>
      </c>
      <c r="J18" s="12"/>
      <c r="K18" s="12"/>
      <c r="L18" s="11"/>
    </row>
    <row r="19" spans="1:12" ht="24.75" customHeight="1" x14ac:dyDescent="0.15">
      <c r="A19" s="13"/>
      <c r="B19" s="14"/>
      <c r="C19" s="9"/>
      <c r="D19" s="9"/>
      <c r="E19" s="14"/>
      <c r="F19" s="9"/>
      <c r="G19" s="15"/>
      <c r="H19" s="9" t="str">
        <f t="shared" si="0"/>
        <v/>
      </c>
      <c r="I19" s="9" t="str">
        <f t="shared" si="2"/>
        <v/>
      </c>
      <c r="J19" s="12"/>
      <c r="K19" s="12"/>
      <c r="L19" s="11"/>
    </row>
    <row r="20" spans="1:12" ht="24.75" customHeight="1" x14ac:dyDescent="0.15">
      <c r="A20" s="13"/>
      <c r="B20" s="14"/>
      <c r="C20" s="9"/>
      <c r="D20" s="9"/>
      <c r="E20" s="14"/>
      <c r="F20" s="9"/>
      <c r="G20" s="15"/>
      <c r="H20" s="9" t="str">
        <f t="shared" si="0"/>
        <v/>
      </c>
      <c r="I20" s="9" t="str">
        <f t="shared" si="2"/>
        <v/>
      </c>
      <c r="J20" s="12"/>
      <c r="K20" s="12"/>
      <c r="L20" s="11"/>
    </row>
    <row r="21" spans="1:12" ht="24.75" customHeight="1" x14ac:dyDescent="0.15">
      <c r="A21" s="13"/>
      <c r="B21" s="14"/>
      <c r="C21" s="9"/>
      <c r="D21" s="9"/>
      <c r="E21" s="14"/>
      <c r="F21" s="9"/>
      <c r="G21" s="15"/>
      <c r="H21" s="9" t="str">
        <f t="shared" si="0"/>
        <v/>
      </c>
      <c r="I21" s="9" t="str">
        <f t="shared" si="2"/>
        <v/>
      </c>
      <c r="J21" s="12"/>
      <c r="K21" s="12"/>
      <c r="L21" s="11"/>
    </row>
    <row r="22" spans="1:12" ht="24.75" customHeight="1" x14ac:dyDescent="0.15">
      <c r="A22" s="13"/>
      <c r="B22" s="14"/>
      <c r="C22" s="9"/>
      <c r="D22" s="9"/>
      <c r="E22" s="14"/>
      <c r="F22" s="9"/>
      <c r="G22" s="15"/>
      <c r="H22" s="9" t="str">
        <f t="shared" si="0"/>
        <v/>
      </c>
      <c r="I22" s="9" t="str">
        <f t="shared" si="2"/>
        <v/>
      </c>
      <c r="J22" s="12"/>
      <c r="K22" s="12"/>
      <c r="L22" s="11"/>
    </row>
    <row r="23" spans="1:12" ht="24.75" customHeight="1" x14ac:dyDescent="0.15">
      <c r="A23" s="13"/>
      <c r="B23" s="14"/>
      <c r="C23" s="9"/>
      <c r="D23" s="9"/>
      <c r="E23" s="14"/>
      <c r="F23" s="9"/>
      <c r="G23" s="15"/>
      <c r="H23" s="9" t="str">
        <f t="shared" si="0"/>
        <v/>
      </c>
      <c r="I23" s="9" t="str">
        <f t="shared" si="2"/>
        <v/>
      </c>
      <c r="J23" s="12"/>
      <c r="K23" s="12"/>
      <c r="L23" s="11"/>
    </row>
    <row r="24" spans="1:12" ht="24.75" customHeight="1" x14ac:dyDescent="0.15">
      <c r="A24" s="13"/>
      <c r="B24" s="14"/>
      <c r="C24" s="9"/>
      <c r="D24" s="9"/>
      <c r="E24" s="14"/>
      <c r="F24" s="9"/>
      <c r="G24" s="15"/>
      <c r="H24" s="9" t="str">
        <f t="shared" si="0"/>
        <v/>
      </c>
      <c r="I24" s="9" t="str">
        <f t="shared" si="2"/>
        <v/>
      </c>
      <c r="J24" s="12"/>
      <c r="K24" s="12"/>
      <c r="L24" s="11"/>
    </row>
    <row r="25" spans="1:12" ht="24.75" customHeight="1" x14ac:dyDescent="0.15">
      <c r="A25" s="13"/>
      <c r="B25" s="14"/>
      <c r="C25" s="9"/>
      <c r="D25" s="9"/>
      <c r="E25" s="14"/>
      <c r="F25" s="9"/>
      <c r="G25" s="15"/>
      <c r="H25" s="9" t="str">
        <f t="shared" si="0"/>
        <v/>
      </c>
      <c r="I25" s="9" t="str">
        <f t="shared" si="2"/>
        <v/>
      </c>
      <c r="J25" s="12"/>
      <c r="K25" s="12"/>
      <c r="L25" s="11"/>
    </row>
  </sheetData>
  <sheetProtection sheet="1" objects="1" scenarios="1" selectLockedCells="1"/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呼び出し">
                <anchor>
                  <from>
                    <xdr:col>2</xdr:col>
                    <xdr:colOff>457200</xdr:colOff>
                    <xdr:row>0</xdr:row>
                    <xdr:rowOff>133350</xdr:rowOff>
                  </from>
                  <to>
                    <xdr:col>2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登録">
                <anchor>
                  <from>
                    <xdr:col>7</xdr:col>
                    <xdr:colOff>228600</xdr:colOff>
                    <xdr:row>0</xdr:row>
                    <xdr:rowOff>133350</xdr:rowOff>
                  </from>
                  <to>
                    <xdr:col>8</xdr:col>
                    <xdr:colOff>638175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砂クリア">
                <anchor>
                  <from>
                    <xdr:col>6</xdr:col>
                    <xdr:colOff>142875</xdr:colOff>
                    <xdr:row>0</xdr:row>
                    <xdr:rowOff>133350</xdr:rowOff>
                  </from>
                  <to>
                    <xdr:col>7</xdr:col>
                    <xdr:colOff>19050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9"/>
  <sheetViews>
    <sheetView workbookViewId="0">
      <selection activeCell="C23" sqref="C23"/>
    </sheetView>
  </sheetViews>
  <sheetFormatPr defaultRowHeight="13.5" x14ac:dyDescent="0.15"/>
  <cols>
    <col min="1" max="16384" width="9" style="19"/>
  </cols>
  <sheetData>
    <row r="1" spans="1:3" x14ac:dyDescent="0.15">
      <c r="A1" s="21" t="s">
        <v>221</v>
      </c>
    </row>
    <row r="2" spans="1:3" x14ac:dyDescent="0.15">
      <c r="A2" s="21" t="s">
        <v>218</v>
      </c>
    </row>
    <row r="3" spans="1:3" x14ac:dyDescent="0.15">
      <c r="B3" s="21" t="s">
        <v>219</v>
      </c>
    </row>
    <row r="4" spans="1:3" x14ac:dyDescent="0.15">
      <c r="C4" s="22" t="s">
        <v>220</v>
      </c>
    </row>
    <row r="5" spans="1:3" x14ac:dyDescent="0.15">
      <c r="A5" s="19">
        <f>B5+93201</f>
        <v>100205</v>
      </c>
      <c r="B5" s="28">
        <v>7004</v>
      </c>
      <c r="C5" s="28">
        <v>10</v>
      </c>
    </row>
    <row r="6" spans="1:3" x14ac:dyDescent="0.15">
      <c r="A6" s="19">
        <f t="shared" ref="A6:A39" si="0">B6+93201</f>
        <v>100211</v>
      </c>
      <c r="B6" s="28">
        <v>7010</v>
      </c>
      <c r="C6" s="28">
        <v>42</v>
      </c>
    </row>
    <row r="7" spans="1:3" x14ac:dyDescent="0.15">
      <c r="A7" s="19">
        <f t="shared" si="0"/>
        <v>100213</v>
      </c>
      <c r="B7" s="28">
        <v>7012</v>
      </c>
      <c r="C7" s="28">
        <v>20</v>
      </c>
    </row>
    <row r="8" spans="1:3" x14ac:dyDescent="0.15">
      <c r="A8" s="19">
        <f t="shared" si="0"/>
        <v>100214</v>
      </c>
      <c r="B8" s="28">
        <v>7013</v>
      </c>
      <c r="C8" s="28">
        <v>128</v>
      </c>
    </row>
    <row r="9" spans="1:3" x14ac:dyDescent="0.15">
      <c r="A9" s="19">
        <f t="shared" si="0"/>
        <v>100218</v>
      </c>
      <c r="B9" s="28">
        <v>7017</v>
      </c>
      <c r="C9" s="28">
        <v>20</v>
      </c>
    </row>
    <row r="10" spans="1:3" x14ac:dyDescent="0.15">
      <c r="A10" s="19">
        <f t="shared" si="0"/>
        <v>100233</v>
      </c>
      <c r="B10" s="28">
        <v>7032</v>
      </c>
      <c r="C10" s="28">
        <v>100</v>
      </c>
    </row>
    <row r="11" spans="1:3" x14ac:dyDescent="0.15">
      <c r="A11" s="19">
        <f t="shared" si="0"/>
        <v>100234</v>
      </c>
      <c r="B11" s="28">
        <v>7033</v>
      </c>
      <c r="C11" s="28">
        <v>30</v>
      </c>
    </row>
    <row r="12" spans="1:3" x14ac:dyDescent="0.15">
      <c r="A12" s="19">
        <f t="shared" si="0"/>
        <v>100242</v>
      </c>
      <c r="B12" s="28">
        <v>7041</v>
      </c>
      <c r="C12" s="28">
        <v>48</v>
      </c>
    </row>
    <row r="13" spans="1:3" x14ac:dyDescent="0.15">
      <c r="A13" s="19">
        <f t="shared" si="0"/>
        <v>100246</v>
      </c>
      <c r="B13" s="28">
        <v>7045</v>
      </c>
      <c r="C13" s="28">
        <v>120</v>
      </c>
    </row>
    <row r="14" spans="1:3" x14ac:dyDescent="0.15">
      <c r="A14" s="19">
        <f t="shared" si="0"/>
        <v>100248</v>
      </c>
      <c r="B14" s="28">
        <v>7047</v>
      </c>
      <c r="C14" s="28">
        <v>120</v>
      </c>
    </row>
    <row r="15" spans="1:3" x14ac:dyDescent="0.15">
      <c r="A15" s="19">
        <f t="shared" si="0"/>
        <v>100249</v>
      </c>
      <c r="B15" s="28">
        <v>7048</v>
      </c>
      <c r="C15" s="28">
        <v>256</v>
      </c>
    </row>
    <row r="16" spans="1:3" x14ac:dyDescent="0.15">
      <c r="A16" s="19">
        <f t="shared" si="0"/>
        <v>100250</v>
      </c>
      <c r="B16" s="28">
        <v>7049</v>
      </c>
      <c r="C16" s="28">
        <v>32</v>
      </c>
    </row>
    <row r="17" spans="1:3" x14ac:dyDescent="0.15">
      <c r="A17" s="19">
        <f t="shared" si="0"/>
        <v>100251</v>
      </c>
      <c r="B17" s="28">
        <v>7050</v>
      </c>
      <c r="C17" s="28">
        <v>32</v>
      </c>
    </row>
    <row r="18" spans="1:3" x14ac:dyDescent="0.15">
      <c r="A18" s="19">
        <f t="shared" si="0"/>
        <v>100252</v>
      </c>
      <c r="B18" s="28">
        <v>7051</v>
      </c>
      <c r="C18" s="28">
        <v>60</v>
      </c>
    </row>
    <row r="19" spans="1:3" x14ac:dyDescent="0.15">
      <c r="A19" s="19">
        <f t="shared" si="0"/>
        <v>100253</v>
      </c>
      <c r="B19" s="28">
        <v>7052</v>
      </c>
      <c r="C19" s="28">
        <v>36</v>
      </c>
    </row>
    <row r="20" spans="1:3" x14ac:dyDescent="0.15">
      <c r="A20" s="19">
        <f t="shared" si="0"/>
        <v>100254</v>
      </c>
      <c r="B20" s="28">
        <v>7053</v>
      </c>
      <c r="C20" s="28">
        <v>36</v>
      </c>
    </row>
    <row r="21" spans="1:3" x14ac:dyDescent="0.15">
      <c r="A21" s="19">
        <f t="shared" si="0"/>
        <v>100255</v>
      </c>
      <c r="B21" s="28">
        <v>7054</v>
      </c>
      <c r="C21" s="28">
        <v>48</v>
      </c>
    </row>
    <row r="22" spans="1:3" x14ac:dyDescent="0.15">
      <c r="A22" s="19">
        <f t="shared" si="0"/>
        <v>100256</v>
      </c>
      <c r="B22" s="28">
        <v>7055</v>
      </c>
      <c r="C22" s="28">
        <v>24</v>
      </c>
    </row>
    <row r="23" spans="1:3" x14ac:dyDescent="0.15">
      <c r="A23" s="19">
        <f t="shared" si="0"/>
        <v>93201</v>
      </c>
      <c r="B23" s="28"/>
      <c r="C23" s="28"/>
    </row>
    <row r="24" spans="1:3" x14ac:dyDescent="0.15">
      <c r="A24" s="19">
        <f t="shared" si="0"/>
        <v>93201</v>
      </c>
      <c r="B24" s="28"/>
      <c r="C24" s="28"/>
    </row>
    <row r="25" spans="1:3" x14ac:dyDescent="0.15">
      <c r="A25" s="19">
        <f t="shared" si="0"/>
        <v>93201</v>
      </c>
      <c r="B25" s="28"/>
      <c r="C25" s="28"/>
    </row>
    <row r="26" spans="1:3" x14ac:dyDescent="0.15">
      <c r="A26" s="19">
        <f t="shared" si="0"/>
        <v>93201</v>
      </c>
      <c r="B26" s="28"/>
      <c r="C26" s="28"/>
    </row>
    <row r="27" spans="1:3" x14ac:dyDescent="0.15">
      <c r="A27" s="19">
        <f t="shared" si="0"/>
        <v>93201</v>
      </c>
      <c r="B27" s="28"/>
      <c r="C27" s="28"/>
    </row>
    <row r="28" spans="1:3" x14ac:dyDescent="0.15">
      <c r="A28" s="19">
        <f t="shared" si="0"/>
        <v>93201</v>
      </c>
      <c r="B28" s="28"/>
      <c r="C28" s="28"/>
    </row>
    <row r="29" spans="1:3" x14ac:dyDescent="0.15">
      <c r="A29" s="19">
        <f t="shared" si="0"/>
        <v>93201</v>
      </c>
      <c r="B29" s="28"/>
      <c r="C29" s="28"/>
    </row>
    <row r="30" spans="1:3" x14ac:dyDescent="0.15">
      <c r="A30" s="19">
        <f t="shared" si="0"/>
        <v>93201</v>
      </c>
      <c r="B30" s="28"/>
      <c r="C30" s="28"/>
    </row>
    <row r="31" spans="1:3" x14ac:dyDescent="0.15">
      <c r="A31" s="19">
        <f t="shared" si="0"/>
        <v>93201</v>
      </c>
      <c r="B31" s="28"/>
      <c r="C31" s="28"/>
    </row>
    <row r="32" spans="1:3" x14ac:dyDescent="0.15">
      <c r="A32" s="19">
        <f t="shared" si="0"/>
        <v>93201</v>
      </c>
      <c r="B32" s="28"/>
      <c r="C32" s="28"/>
    </row>
    <row r="33" spans="1:3" x14ac:dyDescent="0.15">
      <c r="A33" s="19">
        <f t="shared" si="0"/>
        <v>93201</v>
      </c>
      <c r="B33" s="28"/>
      <c r="C33" s="28"/>
    </row>
    <row r="34" spans="1:3" x14ac:dyDescent="0.15">
      <c r="A34" s="19">
        <f t="shared" si="0"/>
        <v>93201</v>
      </c>
      <c r="B34" s="28"/>
      <c r="C34" s="28"/>
    </row>
    <row r="35" spans="1:3" x14ac:dyDescent="0.15">
      <c r="A35" s="19">
        <f t="shared" si="0"/>
        <v>93201</v>
      </c>
      <c r="B35" s="28"/>
      <c r="C35" s="28"/>
    </row>
    <row r="36" spans="1:3" x14ac:dyDescent="0.15">
      <c r="A36" s="19">
        <f t="shared" si="0"/>
        <v>93201</v>
      </c>
      <c r="B36" s="28"/>
      <c r="C36" s="28"/>
    </row>
    <row r="37" spans="1:3" x14ac:dyDescent="0.15">
      <c r="A37" s="19">
        <f t="shared" si="0"/>
        <v>93201</v>
      </c>
      <c r="B37" s="28"/>
      <c r="C37" s="28"/>
    </row>
    <row r="38" spans="1:3" x14ac:dyDescent="0.15">
      <c r="A38" s="19">
        <f t="shared" si="0"/>
        <v>93201</v>
      </c>
      <c r="B38" s="28"/>
      <c r="C38" s="28"/>
    </row>
    <row r="39" spans="1:3" x14ac:dyDescent="0.15">
      <c r="A39" s="19">
        <f t="shared" si="0"/>
        <v>93201</v>
      </c>
      <c r="B39" s="28"/>
      <c r="C39" s="28"/>
    </row>
  </sheetData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80"/>
  <sheetViews>
    <sheetView workbookViewId="0"/>
  </sheetViews>
  <sheetFormatPr defaultRowHeight="13.5" x14ac:dyDescent="0.15"/>
  <cols>
    <col min="1" max="1" width="12.75" bestFit="1" customWidth="1"/>
    <col min="2" max="62" width="15.25" bestFit="1" customWidth="1"/>
    <col min="63" max="63" width="8.5" bestFit="1" customWidth="1"/>
    <col min="64" max="79" width="15.25" bestFit="1" customWidth="1"/>
    <col min="80" max="80" width="8.5" bestFit="1" customWidth="1"/>
    <col min="81" max="81" width="18.625" bestFit="1" customWidth="1"/>
    <col min="82" max="82" width="14" bestFit="1" customWidth="1"/>
    <col min="83" max="83" width="17.375" bestFit="1" customWidth="1"/>
    <col min="84" max="84" width="15.25" bestFit="1" customWidth="1"/>
    <col min="85" max="85" width="18.625" bestFit="1" customWidth="1"/>
    <col min="86" max="86" width="15.25" bestFit="1" customWidth="1"/>
    <col min="87" max="87" width="18.625" bestFit="1" customWidth="1"/>
    <col min="88" max="88" width="15.25" bestFit="1" customWidth="1"/>
    <col min="89" max="89" width="18.625" bestFit="1" customWidth="1"/>
    <col min="90" max="90" width="15.25" bestFit="1" customWidth="1"/>
    <col min="91" max="91" width="18.625" bestFit="1" customWidth="1"/>
    <col min="92" max="92" width="15.25" bestFit="1" customWidth="1"/>
    <col min="93" max="93" width="18.625" bestFit="1" customWidth="1"/>
    <col min="94" max="94" width="14" bestFit="1" customWidth="1"/>
    <col min="95" max="95" width="17.375" bestFit="1" customWidth="1"/>
    <col min="96" max="97" width="14" bestFit="1" customWidth="1"/>
    <col min="98" max="98" width="17.375" bestFit="1" customWidth="1"/>
    <col min="99" max="99" width="15.25" bestFit="1" customWidth="1"/>
    <col min="100" max="100" width="18.625" bestFit="1" customWidth="1"/>
    <col min="101" max="102" width="15.25" bestFit="1" customWidth="1"/>
    <col min="103" max="103" width="18.625" bestFit="1" customWidth="1"/>
    <col min="104" max="104" width="15.25" bestFit="1" customWidth="1"/>
    <col min="105" max="105" width="18.625" bestFit="1" customWidth="1"/>
    <col min="106" max="106" width="15.25" bestFit="1" customWidth="1"/>
    <col min="107" max="107" width="18.625" bestFit="1" customWidth="1"/>
    <col min="108" max="108" width="15.25" bestFit="1" customWidth="1"/>
    <col min="109" max="109" width="18.625" bestFit="1" customWidth="1"/>
    <col min="110" max="111" width="15.25" bestFit="1" customWidth="1"/>
    <col min="112" max="112" width="18.625" bestFit="1" customWidth="1"/>
    <col min="113" max="115" width="15.25" bestFit="1" customWidth="1"/>
    <col min="116" max="116" width="18.625" bestFit="1" customWidth="1"/>
    <col min="117" max="118" width="15.25" bestFit="1" customWidth="1"/>
    <col min="119" max="119" width="18.625" bestFit="1" customWidth="1"/>
    <col min="120" max="120" width="12.75" bestFit="1" customWidth="1"/>
    <col min="121" max="121" width="16.125" bestFit="1" customWidth="1"/>
    <col min="122" max="122" width="12.75" bestFit="1" customWidth="1"/>
    <col min="123" max="123" width="16.125" bestFit="1" customWidth="1"/>
    <col min="124" max="125" width="12.75" bestFit="1" customWidth="1"/>
    <col min="126" max="126" width="16.125" bestFit="1" customWidth="1"/>
    <col min="127" max="127" width="14" bestFit="1" customWidth="1"/>
    <col min="128" max="128" width="17.375" bestFit="1" customWidth="1"/>
    <col min="129" max="129" width="14" bestFit="1" customWidth="1"/>
    <col min="130" max="130" width="17.375" bestFit="1" customWidth="1"/>
    <col min="131" max="131" width="14" bestFit="1" customWidth="1"/>
    <col min="132" max="132" width="17.375" bestFit="1" customWidth="1"/>
    <col min="133" max="133" width="14" bestFit="1" customWidth="1"/>
    <col min="134" max="134" width="17.375" bestFit="1" customWidth="1"/>
    <col min="135" max="135" width="14" bestFit="1" customWidth="1"/>
    <col min="136" max="136" width="17.375" bestFit="1" customWidth="1"/>
    <col min="137" max="138" width="14" bestFit="1" customWidth="1"/>
    <col min="139" max="139" width="17.375" bestFit="1" customWidth="1"/>
    <col min="140" max="140" width="14" bestFit="1" customWidth="1"/>
    <col min="141" max="141" width="17.375" bestFit="1" customWidth="1"/>
    <col min="142" max="142" width="14" bestFit="1" customWidth="1"/>
    <col min="143" max="143" width="17.375" bestFit="1" customWidth="1"/>
    <col min="144" max="144" width="14" bestFit="1" customWidth="1"/>
    <col min="145" max="145" width="17.375" bestFit="1" customWidth="1"/>
    <col min="146" max="146" width="8.5" bestFit="1" customWidth="1"/>
    <col min="147" max="147" width="9.25" bestFit="1" customWidth="1"/>
    <col min="148" max="148" width="12.125" bestFit="1" customWidth="1"/>
    <col min="149" max="149" width="17.375" bestFit="1" customWidth="1"/>
    <col min="150" max="150" width="15.25" bestFit="1" customWidth="1"/>
    <col min="151" max="151" width="12.125" bestFit="1" customWidth="1"/>
    <col min="152" max="152" width="18.625" bestFit="1" customWidth="1"/>
    <col min="153" max="153" width="15.25" bestFit="1" customWidth="1"/>
    <col min="154" max="154" width="10.5" bestFit="1" customWidth="1"/>
    <col min="155" max="155" width="11.75" bestFit="1" customWidth="1"/>
    <col min="156" max="156" width="15" bestFit="1" customWidth="1"/>
    <col min="157" max="157" width="18.625" bestFit="1" customWidth="1"/>
    <col min="158" max="158" width="15.25" bestFit="1" customWidth="1"/>
    <col min="159" max="159" width="15" bestFit="1" customWidth="1"/>
    <col min="160" max="160" width="18.625" bestFit="1" customWidth="1"/>
    <col min="161" max="161" width="15.25" bestFit="1" customWidth="1"/>
    <col min="162" max="162" width="15" bestFit="1" customWidth="1"/>
    <col min="163" max="163" width="18.625" bestFit="1" customWidth="1"/>
    <col min="164" max="164" width="15.25" bestFit="1" customWidth="1"/>
    <col min="165" max="165" width="15" bestFit="1" customWidth="1"/>
    <col min="166" max="166" width="18.625" bestFit="1" customWidth="1"/>
    <col min="167" max="167" width="15.25" bestFit="1" customWidth="1"/>
    <col min="168" max="168" width="10.5" bestFit="1" customWidth="1"/>
    <col min="169" max="169" width="11.75" bestFit="1" customWidth="1"/>
    <col min="170" max="170" width="15" bestFit="1" customWidth="1"/>
    <col min="171" max="171" width="18.625" bestFit="1" customWidth="1"/>
    <col min="172" max="172" width="15.25" bestFit="1" customWidth="1"/>
    <col min="173" max="173" width="10.5" bestFit="1" customWidth="1"/>
    <col min="174" max="174" width="12.75" bestFit="1" customWidth="1"/>
    <col min="175" max="175" width="10.5" bestFit="1" customWidth="1"/>
    <col min="176" max="176" width="11.75" bestFit="1" customWidth="1"/>
    <col min="177" max="177" width="15" bestFit="1" customWidth="1"/>
    <col min="178" max="178" width="18.625" bestFit="1" customWidth="1"/>
    <col min="179" max="179" width="15.25" bestFit="1" customWidth="1"/>
    <col min="180" max="180" width="15" bestFit="1" customWidth="1"/>
    <col min="181" max="181" width="7.75" bestFit="1" customWidth="1"/>
    <col min="182" max="182" width="10.5" bestFit="1" customWidth="1"/>
    <col min="183" max="183" width="18.625" bestFit="1" customWidth="1"/>
    <col min="184" max="184" width="12.75" bestFit="1" customWidth="1"/>
    <col min="185" max="185" width="15" bestFit="1" customWidth="1"/>
    <col min="186" max="186" width="16.125" bestFit="1" customWidth="1"/>
    <col min="187" max="187" width="12.75" bestFit="1" customWidth="1"/>
    <col min="188" max="188" width="10.5" bestFit="1" customWidth="1"/>
    <col min="189" max="189" width="16.125" bestFit="1" customWidth="1"/>
    <col min="190" max="190" width="12.75" bestFit="1" customWidth="1"/>
    <col min="191" max="191" width="10.5" bestFit="1" customWidth="1"/>
    <col min="192" max="192" width="11.75" bestFit="1" customWidth="1"/>
    <col min="193" max="193" width="15" bestFit="1" customWidth="1"/>
    <col min="194" max="194" width="16.125" bestFit="1" customWidth="1"/>
    <col min="195" max="195" width="14" bestFit="1" customWidth="1"/>
    <col min="196" max="196" width="15" bestFit="1" customWidth="1"/>
    <col min="197" max="197" width="17.375" bestFit="1" customWidth="1"/>
    <col min="198" max="198" width="14" bestFit="1" customWidth="1"/>
    <col min="199" max="199" width="10.5" bestFit="1" customWidth="1"/>
    <col min="200" max="200" width="17.375" bestFit="1" customWidth="1"/>
    <col min="201" max="201" width="14" bestFit="1" customWidth="1"/>
    <col min="202" max="202" width="15" bestFit="1" customWidth="1"/>
    <col min="203" max="203" width="17.375" bestFit="1" customWidth="1"/>
    <col min="204" max="204" width="14" bestFit="1" customWidth="1"/>
    <col min="205" max="205" width="15" bestFit="1" customWidth="1"/>
    <col min="206" max="206" width="17.375" bestFit="1" customWidth="1"/>
    <col min="207" max="207" width="14" bestFit="1" customWidth="1"/>
    <col min="208" max="208" width="15" bestFit="1" customWidth="1"/>
    <col min="209" max="209" width="17.375" bestFit="1" customWidth="1"/>
    <col min="210" max="210" width="14" bestFit="1" customWidth="1"/>
    <col min="211" max="211" width="10.5" bestFit="1" customWidth="1"/>
    <col min="212" max="212" width="11.75" bestFit="1" customWidth="1"/>
    <col min="213" max="213" width="15" bestFit="1" customWidth="1"/>
    <col min="214" max="214" width="17.375" bestFit="1" customWidth="1"/>
    <col min="215" max="215" width="14" bestFit="1" customWidth="1"/>
    <col min="216" max="216" width="15" bestFit="1" customWidth="1"/>
    <col min="217" max="217" width="17.375" bestFit="1" customWidth="1"/>
    <col min="218" max="218" width="14" bestFit="1" customWidth="1"/>
    <col min="219" max="219" width="15" bestFit="1" customWidth="1"/>
    <col min="220" max="220" width="17.375" bestFit="1" customWidth="1"/>
    <col min="221" max="221" width="14" bestFit="1" customWidth="1"/>
    <col min="222" max="222" width="15" bestFit="1" customWidth="1"/>
    <col min="223" max="223" width="17.375" bestFit="1" customWidth="1"/>
    <col min="224" max="224" width="8.5" bestFit="1" customWidth="1"/>
  </cols>
  <sheetData>
    <row r="1" spans="1:63" x14ac:dyDescent="0.15">
      <c r="A1" s="25" t="s">
        <v>222</v>
      </c>
      <c r="B1" t="s">
        <v>213</v>
      </c>
    </row>
    <row r="3" spans="1:63" x14ac:dyDescent="0.15">
      <c r="A3" s="25" t="s">
        <v>223</v>
      </c>
      <c r="B3" s="25" t="s">
        <v>224</v>
      </c>
      <c r="C3" s="25" t="s">
        <v>229</v>
      </c>
      <c r="D3" s="25" t="s">
        <v>225</v>
      </c>
      <c r="E3" s="25" t="s">
        <v>226</v>
      </c>
    </row>
    <row r="4" spans="1:63" x14ac:dyDescent="0.15">
      <c r="B4" s="23">
        <v>42340</v>
      </c>
      <c r="C4" s="23">
        <v>42350</v>
      </c>
      <c r="D4" s="23">
        <v>42352</v>
      </c>
      <c r="E4" s="23">
        <v>42353</v>
      </c>
      <c r="F4" s="23">
        <v>42354</v>
      </c>
      <c r="G4" s="23">
        <v>42357</v>
      </c>
      <c r="H4" s="23">
        <v>42364</v>
      </c>
      <c r="I4" s="23">
        <v>42366</v>
      </c>
      <c r="J4" s="23">
        <v>42374</v>
      </c>
      <c r="L4" s="23">
        <v>42378</v>
      </c>
      <c r="M4" s="23">
        <v>42381</v>
      </c>
      <c r="N4" s="23">
        <v>42385</v>
      </c>
      <c r="P4" s="23">
        <v>42388</v>
      </c>
      <c r="Q4" s="23">
        <v>42390</v>
      </c>
      <c r="T4" s="23">
        <v>42392</v>
      </c>
      <c r="U4" s="23">
        <v>42395</v>
      </c>
      <c r="V4" s="23">
        <v>42396</v>
      </c>
      <c r="X4" s="23">
        <v>42397</v>
      </c>
      <c r="AC4" s="23">
        <v>42399</v>
      </c>
      <c r="AE4" s="23">
        <v>42402</v>
      </c>
      <c r="AF4" s="23">
        <v>42405</v>
      </c>
      <c r="AI4" s="23">
        <v>42406</v>
      </c>
      <c r="AK4" s="23">
        <v>42409</v>
      </c>
      <c r="AL4" s="23">
        <v>42408</v>
      </c>
      <c r="AP4" s="23">
        <v>42410</v>
      </c>
      <c r="AR4" s="23">
        <v>42412</v>
      </c>
      <c r="AS4" s="23">
        <v>42415</v>
      </c>
      <c r="AW4" s="23">
        <v>42416</v>
      </c>
      <c r="AZ4" s="23">
        <v>42418</v>
      </c>
      <c r="BB4" s="23">
        <v>42420</v>
      </c>
      <c r="BD4" s="23">
        <v>42424</v>
      </c>
      <c r="BF4" s="23">
        <v>42427</v>
      </c>
      <c r="BG4" s="23">
        <v>42425</v>
      </c>
      <c r="BH4" s="23">
        <v>42429</v>
      </c>
      <c r="BI4" s="23">
        <v>42432</v>
      </c>
      <c r="BJ4" s="23">
        <v>42433</v>
      </c>
      <c r="BK4" t="s">
        <v>227</v>
      </c>
    </row>
    <row r="5" spans="1:63" x14ac:dyDescent="0.15">
      <c r="B5" t="s">
        <v>258</v>
      </c>
      <c r="C5" t="s">
        <v>258</v>
      </c>
      <c r="D5" t="s">
        <v>258</v>
      </c>
      <c r="E5" t="s">
        <v>258</v>
      </c>
      <c r="F5" t="s">
        <v>258</v>
      </c>
      <c r="G5" t="s">
        <v>258</v>
      </c>
      <c r="H5" t="s">
        <v>258</v>
      </c>
      <c r="I5" t="s">
        <v>259</v>
      </c>
      <c r="J5" t="s">
        <v>250</v>
      </c>
      <c r="K5" t="s">
        <v>251</v>
      </c>
      <c r="L5" t="s">
        <v>252</v>
      </c>
      <c r="M5" t="s">
        <v>253</v>
      </c>
      <c r="N5" t="s">
        <v>254</v>
      </c>
      <c r="O5" t="s">
        <v>255</v>
      </c>
      <c r="P5" t="s">
        <v>256</v>
      </c>
      <c r="Q5" t="s">
        <v>233</v>
      </c>
      <c r="R5" t="s">
        <v>234</v>
      </c>
      <c r="S5" t="s">
        <v>235</v>
      </c>
      <c r="T5" t="s">
        <v>236</v>
      </c>
      <c r="U5" t="s">
        <v>260</v>
      </c>
      <c r="V5" t="s">
        <v>237</v>
      </c>
      <c r="W5" t="s">
        <v>238</v>
      </c>
      <c r="X5" t="s">
        <v>239</v>
      </c>
      <c r="Y5" t="s">
        <v>240</v>
      </c>
      <c r="Z5" t="s">
        <v>241</v>
      </c>
      <c r="AA5" t="s">
        <v>242</v>
      </c>
      <c r="AB5" t="s">
        <v>243</v>
      </c>
      <c r="AC5" t="s">
        <v>244</v>
      </c>
      <c r="AD5" t="s">
        <v>245</v>
      </c>
      <c r="AE5" t="s">
        <v>246</v>
      </c>
      <c r="AF5" t="s">
        <v>247</v>
      </c>
      <c r="AG5" t="s">
        <v>248</v>
      </c>
      <c r="AH5" t="s">
        <v>249</v>
      </c>
      <c r="AI5" t="s">
        <v>230</v>
      </c>
      <c r="AJ5" t="s">
        <v>232</v>
      </c>
      <c r="AK5" t="s">
        <v>257</v>
      </c>
      <c r="AL5" t="s">
        <v>261</v>
      </c>
      <c r="AM5" t="s">
        <v>262</v>
      </c>
      <c r="AN5" t="s">
        <v>263</v>
      </c>
      <c r="AO5" t="s">
        <v>264</v>
      </c>
      <c r="AP5" t="s">
        <v>265</v>
      </c>
      <c r="AQ5" t="s">
        <v>266</v>
      </c>
      <c r="AR5" t="s">
        <v>267</v>
      </c>
      <c r="AS5" t="s">
        <v>268</v>
      </c>
      <c r="AT5" t="s">
        <v>269</v>
      </c>
      <c r="AU5" t="s">
        <v>270</v>
      </c>
      <c r="AV5" t="s">
        <v>271</v>
      </c>
      <c r="AW5" t="s">
        <v>272</v>
      </c>
      <c r="AX5" t="s">
        <v>273</v>
      </c>
      <c r="AY5" t="s">
        <v>274</v>
      </c>
      <c r="AZ5" t="s">
        <v>275</v>
      </c>
      <c r="BA5" t="s">
        <v>276</v>
      </c>
      <c r="BB5" t="s">
        <v>277</v>
      </c>
      <c r="BC5" t="s">
        <v>278</v>
      </c>
      <c r="BD5" t="s">
        <v>279</v>
      </c>
      <c r="BE5" t="s">
        <v>280</v>
      </c>
      <c r="BF5" t="s">
        <v>281</v>
      </c>
      <c r="BG5" t="s">
        <v>282</v>
      </c>
      <c r="BH5" t="s">
        <v>283</v>
      </c>
      <c r="BI5" t="s">
        <v>284</v>
      </c>
      <c r="BJ5" t="s">
        <v>285</v>
      </c>
    </row>
    <row r="6" spans="1:63" x14ac:dyDescent="0.15">
      <c r="B6" t="s">
        <v>212</v>
      </c>
      <c r="C6" t="s">
        <v>212</v>
      </c>
      <c r="D6" t="s">
        <v>212</v>
      </c>
      <c r="E6" t="s">
        <v>212</v>
      </c>
      <c r="F6" t="s">
        <v>212</v>
      </c>
      <c r="G6" t="s">
        <v>212</v>
      </c>
      <c r="H6" t="s">
        <v>212</v>
      </c>
      <c r="I6" t="s">
        <v>212</v>
      </c>
      <c r="J6" t="s">
        <v>212</v>
      </c>
      <c r="K6" t="s">
        <v>212</v>
      </c>
      <c r="L6" t="s">
        <v>212</v>
      </c>
      <c r="M6" t="s">
        <v>212</v>
      </c>
      <c r="N6" t="s">
        <v>212</v>
      </c>
      <c r="O6" t="s">
        <v>212</v>
      </c>
      <c r="P6" t="s">
        <v>212</v>
      </c>
      <c r="Q6" t="s">
        <v>212</v>
      </c>
      <c r="R6" t="s">
        <v>212</v>
      </c>
      <c r="S6" t="s">
        <v>212</v>
      </c>
      <c r="T6" t="s">
        <v>212</v>
      </c>
      <c r="U6" t="s">
        <v>212</v>
      </c>
      <c r="V6" t="s">
        <v>212</v>
      </c>
      <c r="W6" t="s">
        <v>212</v>
      </c>
      <c r="X6" t="s">
        <v>212</v>
      </c>
      <c r="Y6" t="s">
        <v>212</v>
      </c>
      <c r="Z6" t="s">
        <v>212</v>
      </c>
      <c r="AA6" t="s">
        <v>212</v>
      </c>
      <c r="AB6" t="s">
        <v>212</v>
      </c>
      <c r="AC6" t="s">
        <v>212</v>
      </c>
      <c r="AD6" t="s">
        <v>212</v>
      </c>
      <c r="AE6" t="s">
        <v>212</v>
      </c>
      <c r="AF6" t="s">
        <v>212</v>
      </c>
      <c r="AG6" t="s">
        <v>212</v>
      </c>
      <c r="AH6" t="s">
        <v>212</v>
      </c>
      <c r="AI6" t="s">
        <v>212</v>
      </c>
      <c r="AJ6" t="s">
        <v>212</v>
      </c>
      <c r="AK6" t="s">
        <v>212</v>
      </c>
      <c r="AL6" t="s">
        <v>212</v>
      </c>
      <c r="AM6" t="s">
        <v>212</v>
      </c>
      <c r="AN6" t="s">
        <v>212</v>
      </c>
      <c r="AO6" t="s">
        <v>212</v>
      </c>
      <c r="AP6" t="s">
        <v>212</v>
      </c>
      <c r="AQ6" t="s">
        <v>212</v>
      </c>
      <c r="AR6" t="s">
        <v>212</v>
      </c>
      <c r="AS6" t="s">
        <v>212</v>
      </c>
      <c r="AT6" t="s">
        <v>212</v>
      </c>
      <c r="AU6" t="s">
        <v>212</v>
      </c>
      <c r="AV6" t="s">
        <v>212</v>
      </c>
      <c r="AW6" t="s">
        <v>212</v>
      </c>
      <c r="AX6" t="s">
        <v>212</v>
      </c>
      <c r="AY6" t="s">
        <v>212</v>
      </c>
      <c r="AZ6" t="s">
        <v>212</v>
      </c>
      <c r="BA6" t="s">
        <v>212</v>
      </c>
      <c r="BB6" t="s">
        <v>212</v>
      </c>
      <c r="BC6" t="s">
        <v>212</v>
      </c>
      <c r="BD6" t="s">
        <v>212</v>
      </c>
      <c r="BE6" t="s">
        <v>212</v>
      </c>
      <c r="BF6" t="s">
        <v>212</v>
      </c>
      <c r="BG6" t="s">
        <v>212</v>
      </c>
      <c r="BH6" t="s">
        <v>212</v>
      </c>
      <c r="BI6" t="s">
        <v>212</v>
      </c>
      <c r="BJ6" t="s">
        <v>212</v>
      </c>
    </row>
    <row r="7" spans="1:63" x14ac:dyDescent="0.15">
      <c r="A7" s="25" t="s">
        <v>228</v>
      </c>
      <c r="B7" t="s">
        <v>6</v>
      </c>
      <c r="C7" t="s">
        <v>6</v>
      </c>
      <c r="D7" t="s">
        <v>6</v>
      </c>
      <c r="E7" t="s">
        <v>6</v>
      </c>
      <c r="F7" t="s">
        <v>6</v>
      </c>
      <c r="G7" t="s">
        <v>6</v>
      </c>
      <c r="H7" t="s">
        <v>6</v>
      </c>
      <c r="I7" t="s">
        <v>6</v>
      </c>
      <c r="J7" t="s">
        <v>6</v>
      </c>
      <c r="K7" t="s">
        <v>6</v>
      </c>
      <c r="L7" t="s">
        <v>6</v>
      </c>
      <c r="M7" t="s">
        <v>6</v>
      </c>
      <c r="N7" t="s">
        <v>6</v>
      </c>
      <c r="O7" t="s">
        <v>6</v>
      </c>
      <c r="P7" t="s">
        <v>6</v>
      </c>
      <c r="Q7" t="s">
        <v>6</v>
      </c>
      <c r="R7" t="s">
        <v>6</v>
      </c>
      <c r="S7" t="s">
        <v>6</v>
      </c>
      <c r="T7" t="s">
        <v>6</v>
      </c>
      <c r="U7" t="s">
        <v>6</v>
      </c>
      <c r="V7" t="s">
        <v>6</v>
      </c>
      <c r="W7" t="s">
        <v>6</v>
      </c>
      <c r="X7" t="s">
        <v>6</v>
      </c>
      <c r="Y7" t="s">
        <v>6</v>
      </c>
      <c r="Z7" t="s">
        <v>6</v>
      </c>
      <c r="AA7" t="s">
        <v>6</v>
      </c>
      <c r="AB7" t="s">
        <v>6</v>
      </c>
      <c r="AC7" t="s">
        <v>6</v>
      </c>
      <c r="AD7" t="s">
        <v>6</v>
      </c>
      <c r="AE7" t="s">
        <v>6</v>
      </c>
      <c r="AF7" t="s">
        <v>6</v>
      </c>
      <c r="AG7" t="s">
        <v>6</v>
      </c>
      <c r="AH7" t="s">
        <v>6</v>
      </c>
      <c r="AI7" t="s">
        <v>6</v>
      </c>
      <c r="AJ7" t="s">
        <v>6</v>
      </c>
      <c r="AK7" t="s">
        <v>6</v>
      </c>
      <c r="AL7" t="s">
        <v>6</v>
      </c>
      <c r="AM7" t="s">
        <v>6</v>
      </c>
      <c r="AN7" t="s">
        <v>6</v>
      </c>
      <c r="AO7" t="s">
        <v>6</v>
      </c>
      <c r="AP7" t="s">
        <v>6</v>
      </c>
      <c r="AQ7" t="s">
        <v>6</v>
      </c>
      <c r="AR7" t="s">
        <v>6</v>
      </c>
      <c r="AS7" t="s">
        <v>6</v>
      </c>
      <c r="AT7" t="s">
        <v>6</v>
      </c>
      <c r="AU7" t="s">
        <v>6</v>
      </c>
      <c r="AV7" t="s">
        <v>6</v>
      </c>
      <c r="AW7" t="s">
        <v>6</v>
      </c>
      <c r="AX7" t="s">
        <v>6</v>
      </c>
      <c r="AY7" t="s">
        <v>6</v>
      </c>
      <c r="AZ7" t="s">
        <v>6</v>
      </c>
      <c r="BA7" t="s">
        <v>6</v>
      </c>
      <c r="BB7" t="s">
        <v>6</v>
      </c>
      <c r="BC7" t="s">
        <v>6</v>
      </c>
      <c r="BD7" t="s">
        <v>6</v>
      </c>
      <c r="BE7" t="s">
        <v>6</v>
      </c>
      <c r="BF7" t="s">
        <v>6</v>
      </c>
      <c r="BG7" t="s">
        <v>6</v>
      </c>
      <c r="BH7" t="s">
        <v>6</v>
      </c>
      <c r="BI7" t="s">
        <v>6</v>
      </c>
      <c r="BJ7" t="s">
        <v>6</v>
      </c>
    </row>
    <row r="8" spans="1:63" x14ac:dyDescent="0.15">
      <c r="A8">
        <v>100201</v>
      </c>
      <c r="B8" s="24"/>
      <c r="C8" s="24"/>
      <c r="D8" s="24"/>
      <c r="E8" s="24"/>
      <c r="F8" s="24"/>
      <c r="G8" s="24"/>
      <c r="H8" s="24"/>
      <c r="I8" s="24"/>
      <c r="J8" s="24">
        <v>36</v>
      </c>
      <c r="K8" s="24"/>
      <c r="L8" s="24">
        <v>72</v>
      </c>
      <c r="M8" s="24">
        <v>108</v>
      </c>
      <c r="N8" s="24"/>
      <c r="O8" s="24">
        <v>36</v>
      </c>
      <c r="P8" s="24"/>
      <c r="Q8" s="24"/>
      <c r="R8" s="24"/>
      <c r="S8" s="24"/>
      <c r="T8" s="24"/>
      <c r="U8" s="24">
        <v>36</v>
      </c>
      <c r="V8" s="24">
        <v>108</v>
      </c>
      <c r="W8" s="24"/>
      <c r="X8" s="24">
        <v>108</v>
      </c>
      <c r="Y8" s="24"/>
      <c r="Z8" s="24"/>
      <c r="AA8" s="24"/>
      <c r="AB8" s="24"/>
      <c r="AC8" s="24"/>
      <c r="AD8" s="24">
        <v>72</v>
      </c>
      <c r="AE8" s="24"/>
      <c r="AF8" s="24"/>
      <c r="AG8" s="24"/>
      <c r="AH8" s="24"/>
      <c r="AI8" s="24"/>
      <c r="AJ8" s="24"/>
      <c r="AK8" s="24"/>
      <c r="AL8" s="24">
        <v>108</v>
      </c>
      <c r="AM8" s="24">
        <v>144</v>
      </c>
      <c r="AN8" s="24"/>
      <c r="AO8" s="24"/>
      <c r="AP8" s="24">
        <v>36</v>
      </c>
      <c r="AQ8" s="24"/>
      <c r="AR8" s="24">
        <v>36</v>
      </c>
      <c r="AS8" s="24"/>
      <c r="AT8" s="24"/>
      <c r="AU8" s="24"/>
      <c r="AV8" s="24"/>
      <c r="AW8" s="24">
        <v>36</v>
      </c>
      <c r="AX8" s="24"/>
      <c r="AY8" s="24"/>
      <c r="AZ8" s="24"/>
      <c r="BA8" s="24">
        <v>36</v>
      </c>
      <c r="BB8" s="24"/>
      <c r="BC8" s="24"/>
      <c r="BD8" s="24"/>
      <c r="BE8" s="24">
        <v>108</v>
      </c>
      <c r="BF8" s="24"/>
      <c r="BG8" s="24">
        <v>36</v>
      </c>
      <c r="BH8" s="24"/>
      <c r="BI8" s="24"/>
      <c r="BJ8" s="24"/>
      <c r="BK8" s="24">
        <v>1116</v>
      </c>
    </row>
    <row r="9" spans="1:63" x14ac:dyDescent="0.15">
      <c r="A9">
        <v>100202</v>
      </c>
      <c r="B9" s="24"/>
      <c r="C9" s="24"/>
      <c r="D9" s="24"/>
      <c r="E9" s="24"/>
      <c r="F9" s="24"/>
      <c r="G9" s="24"/>
      <c r="H9" s="24">
        <v>27</v>
      </c>
      <c r="I9" s="24"/>
      <c r="J9" s="24">
        <v>27</v>
      </c>
      <c r="K9" s="24"/>
      <c r="L9" s="24"/>
      <c r="M9" s="24">
        <v>162</v>
      </c>
      <c r="N9" s="24"/>
      <c r="O9" s="24">
        <v>27</v>
      </c>
      <c r="P9" s="24"/>
      <c r="Q9" s="24"/>
      <c r="R9" s="24"/>
      <c r="S9" s="24"/>
      <c r="T9" s="24"/>
      <c r="U9" s="24"/>
      <c r="V9" s="24"/>
      <c r="W9" s="24">
        <v>108</v>
      </c>
      <c r="X9" s="24"/>
      <c r="Y9" s="24">
        <v>27</v>
      </c>
      <c r="Z9" s="24"/>
      <c r="AA9" s="24"/>
      <c r="AB9" s="24"/>
      <c r="AC9" s="24"/>
      <c r="AD9" s="24">
        <v>108</v>
      </c>
      <c r="AE9" s="24"/>
      <c r="AF9" s="24">
        <v>54</v>
      </c>
      <c r="AG9" s="24"/>
      <c r="AH9" s="24"/>
      <c r="AI9" s="24"/>
      <c r="AJ9" s="24"/>
      <c r="AK9" s="24"/>
      <c r="AL9" s="24"/>
      <c r="AM9" s="24">
        <v>27</v>
      </c>
      <c r="AN9" s="24"/>
      <c r="AO9" s="24"/>
      <c r="AP9" s="24">
        <v>108</v>
      </c>
      <c r="AQ9" s="24"/>
      <c r="AR9" s="24"/>
      <c r="AS9" s="24"/>
      <c r="AT9" s="24"/>
      <c r="AU9" s="24"/>
      <c r="AV9" s="24"/>
      <c r="AW9" s="24">
        <v>162</v>
      </c>
      <c r="AX9" s="24"/>
      <c r="AY9" s="24"/>
      <c r="AZ9" s="24"/>
      <c r="BA9" s="24">
        <v>54</v>
      </c>
      <c r="BB9" s="24"/>
      <c r="BC9" s="24">
        <v>54</v>
      </c>
      <c r="BD9" s="24"/>
      <c r="BE9" s="24">
        <v>81</v>
      </c>
      <c r="BF9" s="24">
        <v>54</v>
      </c>
      <c r="BG9" s="24">
        <v>27</v>
      </c>
      <c r="BH9" s="24"/>
      <c r="BI9" s="24"/>
      <c r="BJ9" s="24"/>
      <c r="BK9" s="24">
        <v>1107</v>
      </c>
    </row>
    <row r="10" spans="1:63" x14ac:dyDescent="0.15">
      <c r="A10">
        <v>100203</v>
      </c>
      <c r="B10" s="24"/>
      <c r="C10" s="24"/>
      <c r="D10" s="24"/>
      <c r="E10" s="24"/>
      <c r="F10" s="24"/>
      <c r="G10" s="24"/>
      <c r="H10" s="24">
        <v>42</v>
      </c>
      <c r="I10" s="24"/>
      <c r="J10" s="24"/>
      <c r="K10" s="24"/>
      <c r="L10" s="24"/>
      <c r="M10" s="24">
        <v>126</v>
      </c>
      <c r="N10" s="24"/>
      <c r="O10" s="24">
        <v>21</v>
      </c>
      <c r="P10" s="24"/>
      <c r="Q10" s="24"/>
      <c r="R10" s="24"/>
      <c r="S10" s="24"/>
      <c r="T10" s="24"/>
      <c r="U10" s="24"/>
      <c r="V10" s="24"/>
      <c r="W10" s="24">
        <v>84</v>
      </c>
      <c r="X10" s="24">
        <v>84</v>
      </c>
      <c r="Y10" s="24"/>
      <c r="Z10" s="24"/>
      <c r="AA10" s="24"/>
      <c r="AB10" s="24"/>
      <c r="AC10" s="24"/>
      <c r="AD10" s="24">
        <v>84</v>
      </c>
      <c r="AE10" s="24"/>
      <c r="AF10" s="24"/>
      <c r="AG10" s="24"/>
      <c r="AH10" s="24"/>
      <c r="AI10" s="24"/>
      <c r="AJ10" s="24"/>
      <c r="AK10" s="24"/>
      <c r="AL10" s="24">
        <v>147</v>
      </c>
      <c r="AM10" s="24"/>
      <c r="AN10" s="24"/>
      <c r="AO10" s="24"/>
      <c r="AP10" s="24">
        <v>84</v>
      </c>
      <c r="AQ10" s="24"/>
      <c r="AR10" s="24"/>
      <c r="AS10" s="24"/>
      <c r="AT10" s="24"/>
      <c r="AU10" s="24"/>
      <c r="AV10" s="24"/>
      <c r="AW10" s="24">
        <v>105</v>
      </c>
      <c r="AX10" s="24"/>
      <c r="AY10" s="24"/>
      <c r="AZ10" s="24"/>
      <c r="BA10" s="24">
        <v>63</v>
      </c>
      <c r="BB10" s="24"/>
      <c r="BC10" s="24"/>
      <c r="BD10" s="24"/>
      <c r="BE10" s="24">
        <v>21</v>
      </c>
      <c r="BF10" s="24">
        <v>63</v>
      </c>
      <c r="BG10" s="24">
        <v>84</v>
      </c>
      <c r="BH10" s="24"/>
      <c r="BI10" s="24"/>
      <c r="BJ10" s="24"/>
      <c r="BK10" s="24">
        <v>1008</v>
      </c>
    </row>
    <row r="11" spans="1:63" x14ac:dyDescent="0.15">
      <c r="A11">
        <v>100204</v>
      </c>
      <c r="B11" s="24"/>
      <c r="C11" s="24"/>
      <c r="D11" s="24"/>
      <c r="E11" s="24"/>
      <c r="F11" s="24">
        <v>200</v>
      </c>
      <c r="G11" s="24">
        <v>320</v>
      </c>
      <c r="H11" s="24">
        <v>180</v>
      </c>
      <c r="I11" s="24"/>
      <c r="J11" s="24"/>
      <c r="K11" s="24">
        <v>200</v>
      </c>
      <c r="L11" s="24"/>
      <c r="M11" s="24"/>
      <c r="N11" s="24"/>
      <c r="O11" s="24"/>
      <c r="P11" s="24"/>
      <c r="Q11" s="24"/>
      <c r="R11" s="24"/>
      <c r="S11" s="24"/>
      <c r="T11" s="24"/>
      <c r="U11" s="24">
        <v>30</v>
      </c>
      <c r="V11" s="24"/>
      <c r="W11" s="24"/>
      <c r="X11" s="24">
        <v>50</v>
      </c>
      <c r="Y11" s="24"/>
      <c r="Z11" s="24"/>
      <c r="AA11" s="24"/>
      <c r="AB11" s="24"/>
      <c r="AC11" s="24"/>
      <c r="AD11" s="24">
        <v>80</v>
      </c>
      <c r="AE11" s="24"/>
      <c r="AF11" s="24"/>
      <c r="AG11" s="24"/>
      <c r="AH11" s="24"/>
      <c r="AI11" s="24"/>
      <c r="AJ11" s="24"/>
      <c r="AK11" s="24">
        <v>400</v>
      </c>
      <c r="AL11" s="24"/>
      <c r="AM11" s="24"/>
      <c r="AN11" s="24"/>
      <c r="AO11" s="24">
        <v>20</v>
      </c>
      <c r="AP11" s="24">
        <v>100</v>
      </c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>
        <v>10</v>
      </c>
      <c r="BB11" s="24"/>
      <c r="BC11" s="24"/>
      <c r="BD11" s="24"/>
      <c r="BE11" s="24"/>
      <c r="BF11" s="24"/>
      <c r="BG11" s="24">
        <v>50</v>
      </c>
      <c r="BH11" s="24"/>
      <c r="BI11" s="24"/>
      <c r="BJ11" s="24"/>
      <c r="BK11" s="24">
        <v>1640</v>
      </c>
    </row>
    <row r="12" spans="1:63" x14ac:dyDescent="0.15">
      <c r="A12">
        <v>100205</v>
      </c>
      <c r="B12" s="24"/>
      <c r="C12" s="24"/>
      <c r="D12" s="24"/>
      <c r="E12" s="24"/>
      <c r="F12" s="24">
        <v>20</v>
      </c>
      <c r="G12" s="24">
        <v>90</v>
      </c>
      <c r="H12" s="24">
        <v>90</v>
      </c>
      <c r="I12" s="24"/>
      <c r="J12" s="24"/>
      <c r="K12" s="24">
        <v>100</v>
      </c>
      <c r="L12" s="24"/>
      <c r="M12" s="24">
        <v>50</v>
      </c>
      <c r="N12" s="24"/>
      <c r="O12" s="24">
        <v>20</v>
      </c>
      <c r="P12" s="24"/>
      <c r="Q12" s="24"/>
      <c r="R12" s="24"/>
      <c r="S12" s="24"/>
      <c r="T12" s="24"/>
      <c r="U12" s="24">
        <v>10</v>
      </c>
      <c r="V12" s="24">
        <v>40</v>
      </c>
      <c r="W12" s="24"/>
      <c r="X12" s="24">
        <v>50</v>
      </c>
      <c r="Y12" s="24">
        <v>160</v>
      </c>
      <c r="Z12" s="24"/>
      <c r="AA12" s="24"/>
      <c r="AB12" s="24"/>
      <c r="AC12" s="24"/>
      <c r="AD12" s="24">
        <v>30</v>
      </c>
      <c r="AE12" s="24"/>
      <c r="AF12" s="24"/>
      <c r="AG12" s="24"/>
      <c r="AH12" s="24"/>
      <c r="AI12" s="24"/>
      <c r="AJ12" s="24"/>
      <c r="AK12" s="24"/>
      <c r="AL12" s="24"/>
      <c r="AM12" s="24">
        <v>110</v>
      </c>
      <c r="AN12" s="24"/>
      <c r="AO12" s="24"/>
      <c r="AP12" s="24"/>
      <c r="AQ12" s="24"/>
      <c r="AR12" s="24"/>
      <c r="AS12" s="24"/>
      <c r="AT12" s="24"/>
      <c r="AU12" s="24"/>
      <c r="AV12" s="24"/>
      <c r="AW12" s="24">
        <v>80</v>
      </c>
      <c r="AX12" s="24"/>
      <c r="AY12" s="24"/>
      <c r="AZ12" s="24"/>
      <c r="BA12" s="24">
        <v>90</v>
      </c>
      <c r="BB12" s="24"/>
      <c r="BC12" s="24"/>
      <c r="BD12" s="24"/>
      <c r="BE12" s="24">
        <v>120</v>
      </c>
      <c r="BF12" s="24">
        <v>30</v>
      </c>
      <c r="BG12" s="24"/>
      <c r="BH12" s="24"/>
      <c r="BI12" s="24"/>
      <c r="BJ12" s="24"/>
      <c r="BK12" s="24">
        <v>1090</v>
      </c>
    </row>
    <row r="13" spans="1:63" x14ac:dyDescent="0.15">
      <c r="A13">
        <v>100206</v>
      </c>
      <c r="B13" s="24"/>
      <c r="C13" s="24"/>
      <c r="D13" s="24"/>
      <c r="E13" s="24"/>
      <c r="F13" s="24">
        <v>30</v>
      </c>
      <c r="G13" s="24"/>
      <c r="H13" s="24">
        <v>36</v>
      </c>
      <c r="I13" s="24"/>
      <c r="J13" s="24"/>
      <c r="K13" s="24">
        <v>36</v>
      </c>
      <c r="L13" s="24"/>
      <c r="M13" s="24">
        <v>36</v>
      </c>
      <c r="N13" s="24"/>
      <c r="O13" s="24">
        <v>12</v>
      </c>
      <c r="P13" s="24"/>
      <c r="Q13" s="24"/>
      <c r="R13" s="24"/>
      <c r="S13" s="24"/>
      <c r="T13" s="24"/>
      <c r="U13" s="24"/>
      <c r="V13" s="24"/>
      <c r="W13" s="24">
        <v>48</v>
      </c>
      <c r="X13" s="24">
        <v>30</v>
      </c>
      <c r="Y13" s="24"/>
      <c r="Z13" s="24"/>
      <c r="AA13" s="24"/>
      <c r="AB13" s="24"/>
      <c r="AC13" s="24"/>
      <c r="AD13" s="24">
        <v>9</v>
      </c>
      <c r="AE13" s="24"/>
      <c r="AF13" s="24"/>
      <c r="AG13" s="24"/>
      <c r="AH13" s="24"/>
      <c r="AI13" s="24"/>
      <c r="AJ13" s="24"/>
      <c r="AK13" s="24"/>
      <c r="AL13" s="24"/>
      <c r="AM13" s="24">
        <v>57</v>
      </c>
      <c r="AN13" s="24"/>
      <c r="AO13" s="24"/>
      <c r="AP13" s="24">
        <v>15</v>
      </c>
      <c r="AQ13" s="24"/>
      <c r="AR13" s="24">
        <v>69</v>
      </c>
      <c r="AS13" s="24"/>
      <c r="AT13" s="24"/>
      <c r="AU13" s="24"/>
      <c r="AV13" s="24"/>
      <c r="AW13" s="24">
        <v>27</v>
      </c>
      <c r="AX13" s="24"/>
      <c r="AY13" s="24">
        <v>45</v>
      </c>
      <c r="AZ13" s="24">
        <v>105</v>
      </c>
      <c r="BA13" s="24">
        <v>33</v>
      </c>
      <c r="BB13" s="24">
        <v>147</v>
      </c>
      <c r="BC13" s="24"/>
      <c r="BD13" s="24">
        <v>12</v>
      </c>
      <c r="BE13" s="24"/>
      <c r="BF13" s="24"/>
      <c r="BG13" s="24"/>
      <c r="BH13" s="24"/>
      <c r="BI13" s="24"/>
      <c r="BJ13" s="24">
        <v>3</v>
      </c>
      <c r="BK13" s="24">
        <v>750</v>
      </c>
    </row>
    <row r="14" spans="1:63" x14ac:dyDescent="0.15">
      <c r="A14">
        <v>100207</v>
      </c>
      <c r="B14" s="24"/>
      <c r="C14" s="24"/>
      <c r="D14" s="24"/>
      <c r="E14" s="24"/>
      <c r="F14" s="24">
        <v>18</v>
      </c>
      <c r="G14" s="24"/>
      <c r="H14" s="24">
        <v>18</v>
      </c>
      <c r="I14" s="24"/>
      <c r="J14" s="24"/>
      <c r="K14" s="24">
        <v>18</v>
      </c>
      <c r="L14" s="24"/>
      <c r="M14" s="24">
        <v>6</v>
      </c>
      <c r="N14" s="24"/>
      <c r="O14" s="24">
        <v>9</v>
      </c>
      <c r="P14" s="24"/>
      <c r="Q14" s="24"/>
      <c r="R14" s="24"/>
      <c r="S14" s="24"/>
      <c r="T14" s="24"/>
      <c r="U14" s="24">
        <v>10</v>
      </c>
      <c r="V14" s="24">
        <v>9</v>
      </c>
      <c r="W14" s="24"/>
      <c r="X14" s="24"/>
      <c r="Y14" s="24">
        <v>9</v>
      </c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>
        <v>15</v>
      </c>
      <c r="AN14" s="24"/>
      <c r="AO14" s="24"/>
      <c r="AP14" s="24">
        <v>3</v>
      </c>
      <c r="AQ14" s="24"/>
      <c r="AR14" s="24">
        <v>18</v>
      </c>
      <c r="AS14" s="24"/>
      <c r="AT14" s="24"/>
      <c r="AU14" s="24"/>
      <c r="AV14" s="24"/>
      <c r="AW14" s="24">
        <v>9</v>
      </c>
      <c r="AX14" s="24"/>
      <c r="AY14" s="24"/>
      <c r="AZ14" s="24"/>
      <c r="BA14" s="24">
        <v>3</v>
      </c>
      <c r="BB14" s="24"/>
      <c r="BC14" s="24"/>
      <c r="BD14" s="24"/>
      <c r="BE14" s="24"/>
      <c r="BF14" s="24"/>
      <c r="BG14" s="24"/>
      <c r="BH14" s="24"/>
      <c r="BI14" s="24"/>
      <c r="BJ14" s="24"/>
      <c r="BK14" s="24">
        <v>145</v>
      </c>
    </row>
    <row r="15" spans="1:63" x14ac:dyDescent="0.15">
      <c r="A15">
        <v>100208</v>
      </c>
      <c r="B15" s="24"/>
      <c r="C15" s="24"/>
      <c r="D15" s="24"/>
      <c r="E15" s="24"/>
      <c r="F15" s="24"/>
      <c r="G15" s="24"/>
      <c r="H15" s="24"/>
      <c r="I15" s="24"/>
      <c r="J15" s="24">
        <v>42</v>
      </c>
      <c r="K15" s="24"/>
      <c r="L15" s="24"/>
      <c r="M15" s="24"/>
      <c r="N15" s="24"/>
      <c r="O15" s="24"/>
      <c r="P15" s="24">
        <v>252</v>
      </c>
      <c r="Q15" s="24"/>
      <c r="R15" s="24"/>
      <c r="S15" s="24"/>
      <c r="T15" s="24"/>
      <c r="U15" s="24">
        <v>42</v>
      </c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>
        <v>168</v>
      </c>
      <c r="BC15" s="24"/>
      <c r="BD15" s="24"/>
      <c r="BE15" s="24"/>
      <c r="BF15" s="24"/>
      <c r="BG15" s="24"/>
      <c r="BH15" s="24"/>
      <c r="BI15" s="24"/>
      <c r="BJ15" s="24"/>
      <c r="BK15" s="24">
        <v>504</v>
      </c>
    </row>
    <row r="16" spans="1:63" x14ac:dyDescent="0.15">
      <c r="A16">
        <v>100209</v>
      </c>
      <c r="B16" s="24"/>
      <c r="C16" s="24"/>
      <c r="D16" s="24"/>
      <c r="E16" s="24"/>
      <c r="F16" s="24"/>
      <c r="G16" s="24"/>
      <c r="H16" s="24"/>
      <c r="I16" s="24"/>
      <c r="J16" s="24">
        <v>56</v>
      </c>
      <c r="K16" s="24"/>
      <c r="L16" s="24">
        <v>56</v>
      </c>
      <c r="M16" s="24"/>
      <c r="N16" s="24"/>
      <c r="O16" s="24"/>
      <c r="P16" s="24">
        <v>112</v>
      </c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>
        <v>168</v>
      </c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>
        <v>168</v>
      </c>
      <c r="AT16" s="24"/>
      <c r="AU16" s="24"/>
      <c r="AV16" s="24"/>
      <c r="AW16" s="24"/>
      <c r="AX16" s="24"/>
      <c r="AY16" s="24"/>
      <c r="AZ16" s="24">
        <v>112</v>
      </c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>
        <v>672</v>
      </c>
    </row>
    <row r="17" spans="1:63" x14ac:dyDescent="0.15">
      <c r="A17">
        <v>100210</v>
      </c>
      <c r="B17" s="24"/>
      <c r="C17" s="24"/>
      <c r="D17" s="24">
        <v>42</v>
      </c>
      <c r="E17" s="24"/>
      <c r="F17" s="24"/>
      <c r="G17" s="24"/>
      <c r="H17" s="24"/>
      <c r="I17" s="24">
        <v>33</v>
      </c>
      <c r="J17" s="24"/>
      <c r="K17" s="24"/>
      <c r="L17" s="24">
        <v>168</v>
      </c>
      <c r="M17" s="24"/>
      <c r="N17" s="24"/>
      <c r="O17" s="24"/>
      <c r="P17" s="24"/>
      <c r="Q17" s="24"/>
      <c r="R17" s="24"/>
      <c r="S17" s="24"/>
      <c r="T17" s="24"/>
      <c r="U17" s="24">
        <v>49</v>
      </c>
      <c r="V17" s="24"/>
      <c r="W17" s="24"/>
      <c r="X17" s="24"/>
      <c r="Y17" s="24"/>
      <c r="Z17" s="24"/>
      <c r="AA17" s="24">
        <v>42</v>
      </c>
      <c r="AB17" s="24">
        <v>84</v>
      </c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>
        <v>252</v>
      </c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>
        <v>670</v>
      </c>
    </row>
    <row r="18" spans="1:63" x14ac:dyDescent="0.15">
      <c r="A18">
        <v>100211</v>
      </c>
      <c r="B18" s="24"/>
      <c r="C18" s="24"/>
      <c r="D18" s="24"/>
      <c r="E18" s="24"/>
      <c r="F18" s="24"/>
      <c r="G18" s="24"/>
      <c r="H18" s="24"/>
      <c r="I18" s="24"/>
      <c r="J18" s="24">
        <v>42</v>
      </c>
      <c r="K18" s="24"/>
      <c r="L18" s="24"/>
      <c r="M18" s="24"/>
      <c r="N18" s="24">
        <v>84</v>
      </c>
      <c r="O18" s="24"/>
      <c r="P18" s="24">
        <v>84</v>
      </c>
      <c r="Q18" s="24"/>
      <c r="R18" s="24"/>
      <c r="S18" s="24"/>
      <c r="T18" s="24">
        <v>168</v>
      </c>
      <c r="U18" s="24"/>
      <c r="V18" s="24"/>
      <c r="W18" s="24"/>
      <c r="X18" s="24"/>
      <c r="Y18" s="24"/>
      <c r="Z18" s="24"/>
      <c r="AA18" s="24"/>
      <c r="AB18" s="24">
        <v>84</v>
      </c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>
        <v>42</v>
      </c>
      <c r="AZ18" s="24">
        <v>84</v>
      </c>
      <c r="BA18" s="24"/>
      <c r="BB18" s="24"/>
      <c r="BC18" s="24"/>
      <c r="BD18" s="24">
        <v>168</v>
      </c>
      <c r="BE18" s="24"/>
      <c r="BF18" s="24"/>
      <c r="BG18" s="24"/>
      <c r="BH18" s="24">
        <v>84</v>
      </c>
      <c r="BI18" s="24"/>
      <c r="BJ18" s="24">
        <v>84</v>
      </c>
      <c r="BK18" s="24">
        <v>924</v>
      </c>
    </row>
    <row r="19" spans="1:63" x14ac:dyDescent="0.15">
      <c r="A19">
        <v>100212</v>
      </c>
      <c r="B19" s="24"/>
      <c r="C19" s="24"/>
      <c r="D19" s="24">
        <v>108</v>
      </c>
      <c r="E19" s="24"/>
      <c r="F19" s="24"/>
      <c r="G19" s="24">
        <v>36</v>
      </c>
      <c r="H19" s="24"/>
      <c r="I19" s="24">
        <v>144</v>
      </c>
      <c r="J19" s="24"/>
      <c r="K19" s="24"/>
      <c r="L19" s="24">
        <v>36</v>
      </c>
      <c r="M19" s="24"/>
      <c r="N19" s="24">
        <v>216</v>
      </c>
      <c r="O19" s="24"/>
      <c r="P19" s="24">
        <v>36</v>
      </c>
      <c r="Q19" s="24"/>
      <c r="R19" s="24"/>
      <c r="S19" s="24"/>
      <c r="T19" s="24">
        <v>36</v>
      </c>
      <c r="U19" s="24">
        <v>34</v>
      </c>
      <c r="V19" s="24"/>
      <c r="W19" s="24"/>
      <c r="X19" s="24"/>
      <c r="Y19" s="24"/>
      <c r="Z19" s="24"/>
      <c r="AA19" s="24"/>
      <c r="AB19" s="24">
        <v>72</v>
      </c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>
        <v>72</v>
      </c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>
        <v>72</v>
      </c>
      <c r="BC19" s="24"/>
      <c r="BD19" s="24"/>
      <c r="BE19" s="24"/>
      <c r="BF19" s="24"/>
      <c r="BG19" s="24"/>
      <c r="BH19" s="24"/>
      <c r="BI19" s="24"/>
      <c r="BJ19" s="24">
        <v>36</v>
      </c>
      <c r="BK19" s="24">
        <v>898</v>
      </c>
    </row>
    <row r="20" spans="1:63" x14ac:dyDescent="0.15">
      <c r="A20">
        <v>100213</v>
      </c>
      <c r="B20" s="24"/>
      <c r="C20" s="24">
        <v>140</v>
      </c>
      <c r="D20" s="24">
        <v>40</v>
      </c>
      <c r="E20" s="24"/>
      <c r="F20" s="24"/>
      <c r="G20" s="24">
        <v>60</v>
      </c>
      <c r="H20" s="24"/>
      <c r="I20" s="24">
        <v>120</v>
      </c>
      <c r="J20" s="24"/>
      <c r="K20" s="24"/>
      <c r="L20" s="24">
        <v>160</v>
      </c>
      <c r="M20" s="24"/>
      <c r="N20" s="24">
        <v>120</v>
      </c>
      <c r="O20" s="24"/>
      <c r="P20" s="24"/>
      <c r="Q20" s="24"/>
      <c r="R20" s="24"/>
      <c r="S20" s="24"/>
      <c r="T20" s="24">
        <v>20</v>
      </c>
      <c r="U20" s="24">
        <v>-10</v>
      </c>
      <c r="V20" s="24"/>
      <c r="W20" s="24"/>
      <c r="X20" s="24"/>
      <c r="Y20" s="24"/>
      <c r="Z20" s="24"/>
      <c r="AA20" s="24">
        <v>120</v>
      </c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>
        <v>80</v>
      </c>
      <c r="BC20" s="24"/>
      <c r="BD20" s="24"/>
      <c r="BE20" s="24"/>
      <c r="BF20" s="24"/>
      <c r="BG20" s="24"/>
      <c r="BH20" s="24"/>
      <c r="BI20" s="24"/>
      <c r="BJ20" s="24"/>
      <c r="BK20" s="24">
        <v>850</v>
      </c>
    </row>
    <row r="21" spans="1:63" x14ac:dyDescent="0.15">
      <c r="A21">
        <v>100214</v>
      </c>
      <c r="B21" s="24"/>
      <c r="C21" s="24"/>
      <c r="D21" s="24">
        <v>80</v>
      </c>
      <c r="E21" s="24">
        <v>240</v>
      </c>
      <c r="F21" s="24"/>
      <c r="G21" s="24">
        <v>48</v>
      </c>
      <c r="H21" s="24"/>
      <c r="I21" s="24">
        <v>16</v>
      </c>
      <c r="J21" s="24">
        <v>80</v>
      </c>
      <c r="K21" s="24"/>
      <c r="L21" s="24">
        <v>96</v>
      </c>
      <c r="M21" s="24"/>
      <c r="N21" s="24"/>
      <c r="O21" s="24"/>
      <c r="P21" s="24"/>
      <c r="Q21" s="24"/>
      <c r="R21" s="24"/>
      <c r="S21" s="24"/>
      <c r="T21" s="24"/>
      <c r="U21" s="24">
        <v>42</v>
      </c>
      <c r="V21" s="24"/>
      <c r="W21" s="24"/>
      <c r="X21" s="24"/>
      <c r="Y21" s="24"/>
      <c r="Z21" s="24"/>
      <c r="AA21" s="24"/>
      <c r="AB21" s="24">
        <v>16</v>
      </c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>
        <v>16</v>
      </c>
      <c r="AZ21" s="24">
        <v>112</v>
      </c>
      <c r="BA21" s="24"/>
      <c r="BB21" s="24">
        <v>112</v>
      </c>
      <c r="BC21" s="24"/>
      <c r="BD21" s="24">
        <v>32</v>
      </c>
      <c r="BE21" s="24"/>
      <c r="BF21" s="24"/>
      <c r="BG21" s="24"/>
      <c r="BH21" s="24">
        <v>16</v>
      </c>
      <c r="BI21" s="24"/>
      <c r="BJ21" s="24">
        <v>16</v>
      </c>
      <c r="BK21" s="24">
        <v>922</v>
      </c>
    </row>
    <row r="22" spans="1:63" x14ac:dyDescent="0.15">
      <c r="A22">
        <v>100215</v>
      </c>
      <c r="B22" s="24"/>
      <c r="C22" s="24"/>
      <c r="D22" s="24"/>
      <c r="E22" s="24"/>
      <c r="F22" s="24"/>
      <c r="G22" s="24"/>
      <c r="H22" s="24"/>
      <c r="I22" s="24"/>
      <c r="J22" s="24">
        <v>33</v>
      </c>
      <c r="K22" s="24"/>
      <c r="L22" s="24">
        <v>165</v>
      </c>
      <c r="M22" s="24">
        <v>66</v>
      </c>
      <c r="N22" s="24"/>
      <c r="O22" s="24">
        <v>33</v>
      </c>
      <c r="P22" s="24"/>
      <c r="Q22" s="24"/>
      <c r="R22" s="24"/>
      <c r="S22" s="24"/>
      <c r="T22" s="24"/>
      <c r="U22" s="24">
        <v>66</v>
      </c>
      <c r="V22" s="24">
        <v>99</v>
      </c>
      <c r="W22" s="24"/>
      <c r="X22" s="24"/>
      <c r="Y22" s="24">
        <v>66</v>
      </c>
      <c r="Z22" s="24"/>
      <c r="AA22" s="24"/>
      <c r="AB22" s="24"/>
      <c r="AC22" s="24"/>
      <c r="AD22" s="24">
        <v>66</v>
      </c>
      <c r="AE22" s="24"/>
      <c r="AF22" s="24">
        <v>66</v>
      </c>
      <c r="AG22" s="24">
        <v>66</v>
      </c>
      <c r="AH22" s="24"/>
      <c r="AI22" s="24"/>
      <c r="AJ22" s="24">
        <v>66</v>
      </c>
      <c r="AK22" s="24"/>
      <c r="AL22" s="24"/>
      <c r="AM22" s="24"/>
      <c r="AN22" s="24"/>
      <c r="AO22" s="24">
        <v>132</v>
      </c>
      <c r="AP22" s="24"/>
      <c r="AQ22" s="24"/>
      <c r="AR22" s="24"/>
      <c r="AS22" s="24"/>
      <c r="AT22" s="24"/>
      <c r="AU22" s="24"/>
      <c r="AV22" s="24"/>
      <c r="AW22" s="24">
        <v>33</v>
      </c>
      <c r="AX22" s="24">
        <v>66</v>
      </c>
      <c r="AY22" s="24"/>
      <c r="AZ22" s="24"/>
      <c r="BA22" s="24">
        <v>33</v>
      </c>
      <c r="BB22" s="24"/>
      <c r="BC22" s="24"/>
      <c r="BD22" s="24"/>
      <c r="BE22" s="24">
        <v>132</v>
      </c>
      <c r="BF22" s="24"/>
      <c r="BG22" s="24">
        <v>66</v>
      </c>
      <c r="BH22" s="24"/>
      <c r="BI22" s="24"/>
      <c r="BJ22" s="24"/>
      <c r="BK22" s="24">
        <v>1254</v>
      </c>
    </row>
    <row r="23" spans="1:63" x14ac:dyDescent="0.15">
      <c r="A23">
        <v>100216</v>
      </c>
      <c r="B23" s="24"/>
      <c r="C23" s="24"/>
      <c r="D23" s="24"/>
      <c r="E23" s="24"/>
      <c r="F23" s="24"/>
      <c r="G23" s="24">
        <v>27</v>
      </c>
      <c r="H23" s="24">
        <v>27</v>
      </c>
      <c r="I23" s="24"/>
      <c r="J23" s="24"/>
      <c r="K23" s="24"/>
      <c r="L23" s="24"/>
      <c r="M23" s="24">
        <v>135</v>
      </c>
      <c r="N23" s="24"/>
      <c r="O23" s="24">
        <v>54</v>
      </c>
      <c r="P23" s="24"/>
      <c r="Q23" s="24"/>
      <c r="R23" s="24"/>
      <c r="S23" s="24"/>
      <c r="T23" s="24"/>
      <c r="U23" s="24"/>
      <c r="V23" s="24"/>
      <c r="W23" s="24">
        <v>162</v>
      </c>
      <c r="X23" s="24">
        <v>27</v>
      </c>
      <c r="Y23" s="24"/>
      <c r="Z23" s="24"/>
      <c r="AA23" s="24"/>
      <c r="AB23" s="24"/>
      <c r="AC23" s="24"/>
      <c r="AD23" s="24">
        <v>54</v>
      </c>
      <c r="AE23" s="24">
        <v>54</v>
      </c>
      <c r="AF23" s="24">
        <v>27</v>
      </c>
      <c r="AG23" s="24">
        <v>27</v>
      </c>
      <c r="AH23" s="24"/>
      <c r="AI23" s="24"/>
      <c r="AJ23" s="24">
        <v>27</v>
      </c>
      <c r="AK23" s="24"/>
      <c r="AL23" s="24"/>
      <c r="AM23" s="24"/>
      <c r="AN23" s="24"/>
      <c r="AO23" s="24">
        <v>81</v>
      </c>
      <c r="AP23" s="24">
        <v>54</v>
      </c>
      <c r="AQ23" s="24"/>
      <c r="AR23" s="24"/>
      <c r="AS23" s="24"/>
      <c r="AT23" s="24"/>
      <c r="AU23" s="24"/>
      <c r="AV23" s="24"/>
      <c r="AW23" s="24">
        <v>54</v>
      </c>
      <c r="AX23" s="24"/>
      <c r="AY23" s="24"/>
      <c r="AZ23" s="24"/>
      <c r="BA23" s="24">
        <v>108</v>
      </c>
      <c r="BB23" s="24"/>
      <c r="BC23" s="24">
        <v>27</v>
      </c>
      <c r="BD23" s="24"/>
      <c r="BE23" s="24">
        <v>81</v>
      </c>
      <c r="BF23" s="24">
        <v>108</v>
      </c>
      <c r="BG23" s="24">
        <v>54</v>
      </c>
      <c r="BH23" s="24"/>
      <c r="BI23" s="24">
        <v>216</v>
      </c>
      <c r="BJ23" s="24"/>
      <c r="BK23" s="24">
        <v>1404</v>
      </c>
    </row>
    <row r="24" spans="1:63" x14ac:dyDescent="0.15">
      <c r="A24">
        <v>100217</v>
      </c>
      <c r="B24" s="24"/>
      <c r="C24" s="24"/>
      <c r="D24" s="24"/>
      <c r="E24" s="24"/>
      <c r="F24" s="24"/>
      <c r="G24" s="24"/>
      <c r="H24" s="24"/>
      <c r="I24" s="24"/>
      <c r="J24" s="24">
        <v>21</v>
      </c>
      <c r="K24" s="24"/>
      <c r="L24" s="24">
        <v>63</v>
      </c>
      <c r="M24" s="24"/>
      <c r="N24" s="24"/>
      <c r="O24" s="24"/>
      <c r="P24" s="24">
        <v>42</v>
      </c>
      <c r="Q24" s="24"/>
      <c r="R24" s="24"/>
      <c r="S24" s="24">
        <v>126</v>
      </c>
      <c r="T24" s="24"/>
      <c r="U24" s="24"/>
      <c r="V24" s="24"/>
      <c r="W24" s="24"/>
      <c r="X24" s="24"/>
      <c r="Y24" s="24"/>
      <c r="Z24" s="24">
        <v>21</v>
      </c>
      <c r="AA24" s="24"/>
      <c r="AB24" s="24"/>
      <c r="AC24" s="24">
        <v>168</v>
      </c>
      <c r="AD24" s="24"/>
      <c r="AE24" s="24"/>
      <c r="AF24" s="24"/>
      <c r="AG24" s="24"/>
      <c r="AH24" s="24">
        <v>42</v>
      </c>
      <c r="AI24" s="24">
        <v>21</v>
      </c>
      <c r="AJ24" s="24"/>
      <c r="AK24" s="24"/>
      <c r="AL24" s="24">
        <v>105</v>
      </c>
      <c r="AM24" s="24"/>
      <c r="AN24" s="24"/>
      <c r="AO24" s="24"/>
      <c r="AP24" s="24"/>
      <c r="AQ24" s="24">
        <v>105</v>
      </c>
      <c r="AR24" s="24"/>
      <c r="AS24" s="24">
        <v>105</v>
      </c>
      <c r="AT24" s="24"/>
      <c r="AU24" s="24"/>
      <c r="AV24" s="24"/>
      <c r="AW24" s="24"/>
      <c r="AX24" s="24"/>
      <c r="AY24" s="24">
        <v>21</v>
      </c>
      <c r="AZ24" s="24"/>
      <c r="BA24" s="24"/>
      <c r="BB24" s="24"/>
      <c r="BC24" s="24">
        <v>63</v>
      </c>
      <c r="BD24" s="24"/>
      <c r="BE24" s="24">
        <v>21</v>
      </c>
      <c r="BF24" s="24">
        <v>21</v>
      </c>
      <c r="BG24" s="24">
        <v>21</v>
      </c>
      <c r="BH24" s="24"/>
      <c r="BI24" s="24">
        <v>147</v>
      </c>
      <c r="BJ24" s="24"/>
      <c r="BK24" s="24">
        <v>1113</v>
      </c>
    </row>
    <row r="25" spans="1:63" x14ac:dyDescent="0.15">
      <c r="A25">
        <v>100218</v>
      </c>
      <c r="B25" s="24"/>
      <c r="C25" s="24"/>
      <c r="D25" s="24"/>
      <c r="E25" s="24"/>
      <c r="F25" s="24">
        <v>40</v>
      </c>
      <c r="G25" s="24">
        <v>100</v>
      </c>
      <c r="H25" s="24"/>
      <c r="I25" s="24"/>
      <c r="J25" s="24"/>
      <c r="K25" s="24">
        <v>60</v>
      </c>
      <c r="L25" s="24"/>
      <c r="M25" s="24">
        <v>100</v>
      </c>
      <c r="N25" s="24"/>
      <c r="O25" s="24"/>
      <c r="P25" s="24"/>
      <c r="Q25" s="24"/>
      <c r="R25" s="24"/>
      <c r="S25" s="24"/>
      <c r="T25" s="24"/>
      <c r="U25" s="24">
        <v>30</v>
      </c>
      <c r="V25" s="24">
        <v>110</v>
      </c>
      <c r="W25" s="24"/>
      <c r="X25" s="24"/>
      <c r="Y25" s="24">
        <v>100</v>
      </c>
      <c r="Z25" s="24"/>
      <c r="AA25" s="24"/>
      <c r="AB25" s="24"/>
      <c r="AC25" s="24"/>
      <c r="AD25" s="24">
        <v>20</v>
      </c>
      <c r="AE25" s="24"/>
      <c r="AF25" s="24">
        <v>40</v>
      </c>
      <c r="AG25" s="24"/>
      <c r="AH25" s="24"/>
      <c r="AI25" s="24"/>
      <c r="AJ25" s="24">
        <v>50</v>
      </c>
      <c r="AK25" s="24">
        <v>140</v>
      </c>
      <c r="AL25" s="24">
        <v>10</v>
      </c>
      <c r="AM25" s="24"/>
      <c r="AN25" s="24"/>
      <c r="AO25" s="24"/>
      <c r="AP25" s="24"/>
      <c r="AQ25" s="24"/>
      <c r="AR25" s="24">
        <v>40</v>
      </c>
      <c r="AS25" s="24"/>
      <c r="AT25" s="24"/>
      <c r="AU25" s="24"/>
      <c r="AV25" s="24"/>
      <c r="AW25" s="24">
        <v>20</v>
      </c>
      <c r="AX25" s="24"/>
      <c r="AY25" s="24"/>
      <c r="AZ25" s="24"/>
      <c r="BA25" s="24">
        <v>10</v>
      </c>
      <c r="BB25" s="24"/>
      <c r="BC25" s="24">
        <v>30</v>
      </c>
      <c r="BD25" s="24"/>
      <c r="BE25" s="24">
        <v>50</v>
      </c>
      <c r="BF25" s="24">
        <v>30</v>
      </c>
      <c r="BG25" s="24">
        <v>20</v>
      </c>
      <c r="BH25" s="24"/>
      <c r="BI25" s="24"/>
      <c r="BJ25" s="24"/>
      <c r="BK25" s="24">
        <v>1000</v>
      </c>
    </row>
    <row r="26" spans="1:63" x14ac:dyDescent="0.15">
      <c r="A26">
        <v>100219</v>
      </c>
      <c r="B26" s="24"/>
      <c r="C26" s="24"/>
      <c r="D26" s="24"/>
      <c r="E26" s="24"/>
      <c r="F26" s="24">
        <v>16</v>
      </c>
      <c r="G26" s="24">
        <v>16</v>
      </c>
      <c r="H26" s="24">
        <v>48</v>
      </c>
      <c r="I26" s="24"/>
      <c r="J26" s="24"/>
      <c r="K26" s="24">
        <v>24</v>
      </c>
      <c r="L26" s="24"/>
      <c r="M26" s="24">
        <v>32</v>
      </c>
      <c r="N26" s="24"/>
      <c r="O26" s="24">
        <v>16</v>
      </c>
      <c r="P26" s="24"/>
      <c r="Q26" s="24"/>
      <c r="R26" s="24"/>
      <c r="S26" s="24"/>
      <c r="T26" s="24"/>
      <c r="U26" s="24">
        <v>13</v>
      </c>
      <c r="V26" s="24">
        <v>24</v>
      </c>
      <c r="W26" s="24"/>
      <c r="X26" s="24">
        <v>16</v>
      </c>
      <c r="Y26" s="24"/>
      <c r="Z26" s="24"/>
      <c r="AA26" s="24"/>
      <c r="AB26" s="24"/>
      <c r="AC26" s="24"/>
      <c r="AD26" s="24">
        <v>8</v>
      </c>
      <c r="AE26" s="24"/>
      <c r="AF26" s="24">
        <v>24</v>
      </c>
      <c r="AG26" s="24"/>
      <c r="AH26" s="24"/>
      <c r="AI26" s="24"/>
      <c r="AJ26" s="24">
        <v>16</v>
      </c>
      <c r="AK26" s="24"/>
      <c r="AL26" s="24"/>
      <c r="AM26" s="24">
        <v>8</v>
      </c>
      <c r="AN26" s="24"/>
      <c r="AO26" s="24"/>
      <c r="AP26" s="24">
        <v>8</v>
      </c>
      <c r="AQ26" s="24"/>
      <c r="AR26" s="24">
        <v>8</v>
      </c>
      <c r="AS26" s="24"/>
      <c r="AT26" s="24"/>
      <c r="AU26" s="24"/>
      <c r="AV26" s="24"/>
      <c r="AW26" s="24">
        <v>8</v>
      </c>
      <c r="AX26" s="24"/>
      <c r="AY26" s="24"/>
      <c r="AZ26" s="24"/>
      <c r="BA26" s="24">
        <v>16</v>
      </c>
      <c r="BB26" s="24"/>
      <c r="BC26" s="24">
        <v>8</v>
      </c>
      <c r="BD26" s="24"/>
      <c r="BE26" s="24">
        <v>16</v>
      </c>
      <c r="BF26" s="24">
        <v>8</v>
      </c>
      <c r="BG26" s="24">
        <v>8</v>
      </c>
      <c r="BH26" s="24"/>
      <c r="BI26" s="24">
        <v>24</v>
      </c>
      <c r="BJ26" s="24"/>
      <c r="BK26" s="24">
        <v>365</v>
      </c>
    </row>
    <row r="27" spans="1:63" x14ac:dyDescent="0.15">
      <c r="A27">
        <v>100220</v>
      </c>
      <c r="B27" s="24"/>
      <c r="C27" s="24"/>
      <c r="D27" s="24"/>
      <c r="E27" s="24"/>
      <c r="F27" s="24">
        <v>16</v>
      </c>
      <c r="G27" s="24">
        <v>64</v>
      </c>
      <c r="H27" s="24">
        <v>48</v>
      </c>
      <c r="I27" s="24"/>
      <c r="J27" s="24"/>
      <c r="K27" s="24">
        <v>40</v>
      </c>
      <c r="L27" s="24"/>
      <c r="M27" s="24"/>
      <c r="N27" s="24"/>
      <c r="O27" s="24">
        <v>64</v>
      </c>
      <c r="P27" s="24"/>
      <c r="Q27" s="24"/>
      <c r="R27" s="24"/>
      <c r="S27" s="24"/>
      <c r="T27" s="24"/>
      <c r="U27" s="24">
        <v>23</v>
      </c>
      <c r="V27" s="24"/>
      <c r="W27" s="24">
        <v>32</v>
      </c>
      <c r="X27" s="24">
        <v>32</v>
      </c>
      <c r="Y27" s="24">
        <v>8</v>
      </c>
      <c r="Z27" s="24"/>
      <c r="AA27" s="24"/>
      <c r="AB27" s="24"/>
      <c r="AC27" s="24"/>
      <c r="AD27" s="24"/>
      <c r="AE27" s="24">
        <v>32</v>
      </c>
      <c r="AF27" s="24"/>
      <c r="AG27" s="24"/>
      <c r="AH27" s="24"/>
      <c r="AI27" s="24"/>
      <c r="AJ27" s="24">
        <v>24</v>
      </c>
      <c r="AK27" s="24">
        <v>8</v>
      </c>
      <c r="AL27" s="24"/>
      <c r="AM27" s="24">
        <v>16</v>
      </c>
      <c r="AN27" s="24"/>
      <c r="AO27" s="24"/>
      <c r="AP27" s="24">
        <v>8</v>
      </c>
      <c r="AQ27" s="24"/>
      <c r="AR27" s="24"/>
      <c r="AS27" s="24"/>
      <c r="AT27" s="24"/>
      <c r="AU27" s="24"/>
      <c r="AV27" s="24"/>
      <c r="AW27" s="24">
        <v>24</v>
      </c>
      <c r="AX27" s="24"/>
      <c r="AY27" s="24"/>
      <c r="AZ27" s="24"/>
      <c r="BA27" s="24">
        <v>16</v>
      </c>
      <c r="BB27" s="24"/>
      <c r="BC27" s="24">
        <v>24</v>
      </c>
      <c r="BD27" s="24"/>
      <c r="BE27" s="24">
        <v>16</v>
      </c>
      <c r="BF27" s="24">
        <v>8</v>
      </c>
      <c r="BG27" s="24">
        <v>16</v>
      </c>
      <c r="BH27" s="24"/>
      <c r="BI27" s="24"/>
      <c r="BJ27" s="24"/>
      <c r="BK27" s="24">
        <v>519</v>
      </c>
    </row>
    <row r="28" spans="1:63" x14ac:dyDescent="0.15">
      <c r="A28">
        <v>100221</v>
      </c>
      <c r="B28" s="24"/>
      <c r="C28" s="24"/>
      <c r="D28" s="24"/>
      <c r="E28" s="24"/>
      <c r="F28" s="24">
        <v>28</v>
      </c>
      <c r="G28" s="24">
        <v>16</v>
      </c>
      <c r="H28" s="24">
        <v>16</v>
      </c>
      <c r="I28" s="24"/>
      <c r="J28" s="24"/>
      <c r="K28" s="24">
        <v>8</v>
      </c>
      <c r="L28" s="24"/>
      <c r="M28" s="24">
        <v>8</v>
      </c>
      <c r="N28" s="24"/>
      <c r="O28" s="24"/>
      <c r="P28" s="24"/>
      <c r="Q28" s="24"/>
      <c r="R28" s="24"/>
      <c r="S28" s="24"/>
      <c r="T28" s="24"/>
      <c r="U28" s="24">
        <v>14</v>
      </c>
      <c r="V28" s="24"/>
      <c r="W28" s="24">
        <v>12</v>
      </c>
      <c r="X28" s="24">
        <v>8</v>
      </c>
      <c r="Y28" s="24"/>
      <c r="Z28" s="24"/>
      <c r="AA28" s="24"/>
      <c r="AB28" s="24"/>
      <c r="AC28" s="24"/>
      <c r="AD28" s="24">
        <v>16</v>
      </c>
      <c r="AE28" s="24">
        <v>8</v>
      </c>
      <c r="AF28" s="24">
        <v>16</v>
      </c>
      <c r="AG28" s="24"/>
      <c r="AH28" s="24"/>
      <c r="AI28" s="24"/>
      <c r="AJ28" s="24">
        <v>8</v>
      </c>
      <c r="AK28" s="24"/>
      <c r="AL28" s="24"/>
      <c r="AM28" s="24">
        <v>8</v>
      </c>
      <c r="AN28" s="24"/>
      <c r="AO28" s="24"/>
      <c r="AP28" s="24">
        <v>8</v>
      </c>
      <c r="AQ28" s="24"/>
      <c r="AR28" s="24">
        <v>8</v>
      </c>
      <c r="AS28" s="24"/>
      <c r="AT28" s="24"/>
      <c r="AU28" s="24"/>
      <c r="AV28" s="24"/>
      <c r="AW28" s="24">
        <v>8</v>
      </c>
      <c r="AX28" s="24"/>
      <c r="AY28" s="24"/>
      <c r="AZ28" s="24"/>
      <c r="BA28" s="24">
        <v>8</v>
      </c>
      <c r="BB28" s="24"/>
      <c r="BC28" s="24">
        <v>8</v>
      </c>
      <c r="BD28" s="24"/>
      <c r="BE28" s="24">
        <v>16</v>
      </c>
      <c r="BF28" s="24">
        <v>16</v>
      </c>
      <c r="BG28" s="24">
        <v>8</v>
      </c>
      <c r="BH28" s="24"/>
      <c r="BI28" s="24">
        <v>8</v>
      </c>
      <c r="BJ28" s="24"/>
      <c r="BK28" s="24">
        <v>254</v>
      </c>
    </row>
    <row r="29" spans="1:63" x14ac:dyDescent="0.15">
      <c r="A29">
        <v>100222</v>
      </c>
      <c r="B29" s="24"/>
      <c r="C29" s="24"/>
      <c r="D29" s="24"/>
      <c r="E29" s="24"/>
      <c r="F29" s="24">
        <v>117</v>
      </c>
      <c r="G29" s="24"/>
      <c r="H29" s="24">
        <v>288</v>
      </c>
      <c r="I29" s="24"/>
      <c r="J29" s="24"/>
      <c r="K29" s="24">
        <v>99</v>
      </c>
      <c r="L29" s="24"/>
      <c r="M29" s="24"/>
      <c r="N29" s="24"/>
      <c r="O29" s="24">
        <v>198</v>
      </c>
      <c r="P29" s="24"/>
      <c r="Q29" s="24"/>
      <c r="R29" s="24"/>
      <c r="S29" s="24"/>
      <c r="T29" s="24"/>
      <c r="U29" s="24">
        <v>120</v>
      </c>
      <c r="V29" s="24"/>
      <c r="W29" s="24"/>
      <c r="X29" s="24"/>
      <c r="Y29" s="24"/>
      <c r="Z29" s="24"/>
      <c r="AA29" s="24"/>
      <c r="AB29" s="24"/>
      <c r="AC29" s="24"/>
      <c r="AD29" s="24">
        <v>99</v>
      </c>
      <c r="AE29" s="24"/>
      <c r="AF29" s="24"/>
      <c r="AG29" s="24"/>
      <c r="AH29" s="24"/>
      <c r="AI29" s="24"/>
      <c r="AJ29" s="24"/>
      <c r="AK29" s="24"/>
      <c r="AL29" s="24">
        <v>297</v>
      </c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>
        <v>99</v>
      </c>
      <c r="AY29" s="24"/>
      <c r="AZ29" s="24"/>
      <c r="BA29" s="24"/>
      <c r="BB29" s="24"/>
      <c r="BC29" s="24"/>
      <c r="BD29" s="24"/>
      <c r="BE29" s="24"/>
      <c r="BF29" s="24">
        <v>99</v>
      </c>
      <c r="BG29" s="24"/>
      <c r="BH29" s="24"/>
      <c r="BI29" s="24"/>
      <c r="BJ29" s="24"/>
      <c r="BK29" s="24">
        <v>1416</v>
      </c>
    </row>
    <row r="30" spans="1:63" x14ac:dyDescent="0.15">
      <c r="A30">
        <v>100223</v>
      </c>
      <c r="B30" s="24"/>
      <c r="C30" s="24"/>
      <c r="D30" s="24"/>
      <c r="E30" s="24"/>
      <c r="F30" s="24">
        <v>56</v>
      </c>
      <c r="G30" s="24"/>
      <c r="H30" s="24">
        <v>44</v>
      </c>
      <c r="I30" s="24"/>
      <c r="J30" s="24"/>
      <c r="K30" s="24">
        <v>44</v>
      </c>
      <c r="L30" s="24"/>
      <c r="M30" s="24"/>
      <c r="N30" s="24"/>
      <c r="O30" s="24">
        <v>176</v>
      </c>
      <c r="P30" s="24"/>
      <c r="Q30" s="24"/>
      <c r="R30" s="24"/>
      <c r="S30" s="24"/>
      <c r="T30" s="24"/>
      <c r="U30" s="24">
        <v>67</v>
      </c>
      <c r="V30" s="24"/>
      <c r="W30" s="24"/>
      <c r="X30" s="24"/>
      <c r="Y30" s="24">
        <v>132</v>
      </c>
      <c r="Z30" s="24"/>
      <c r="AA30" s="24"/>
      <c r="AB30" s="24"/>
      <c r="AC30" s="24"/>
      <c r="AD30" s="24">
        <v>44</v>
      </c>
      <c r="AE30" s="24"/>
      <c r="AF30" s="24"/>
      <c r="AG30" s="24"/>
      <c r="AH30" s="24"/>
      <c r="AI30" s="24"/>
      <c r="AJ30" s="24"/>
      <c r="AK30" s="24"/>
      <c r="AL30" s="24">
        <v>176</v>
      </c>
      <c r="AM30" s="24"/>
      <c r="AN30" s="24"/>
      <c r="AO30" s="24"/>
      <c r="AP30" s="24"/>
      <c r="AQ30" s="24"/>
      <c r="AR30" s="24">
        <v>44</v>
      </c>
      <c r="AS30" s="24"/>
      <c r="AT30" s="24"/>
      <c r="AU30" s="24"/>
      <c r="AV30" s="24"/>
      <c r="AW30" s="24"/>
      <c r="AX30" s="24"/>
      <c r="AY30" s="24"/>
      <c r="AZ30" s="24"/>
      <c r="BA30" s="24">
        <v>44</v>
      </c>
      <c r="BB30" s="24"/>
      <c r="BC30" s="24"/>
      <c r="BD30" s="24"/>
      <c r="BE30" s="24"/>
      <c r="BF30" s="24">
        <v>44</v>
      </c>
      <c r="BG30" s="24">
        <v>44</v>
      </c>
      <c r="BH30" s="24"/>
      <c r="BI30" s="24"/>
      <c r="BJ30" s="24"/>
      <c r="BK30" s="24">
        <v>915</v>
      </c>
    </row>
    <row r="31" spans="1:63" x14ac:dyDescent="0.15">
      <c r="A31">
        <v>100224</v>
      </c>
      <c r="B31" s="24"/>
      <c r="C31" s="24"/>
      <c r="D31" s="24"/>
      <c r="E31" s="24"/>
      <c r="F31" s="24">
        <v>44</v>
      </c>
      <c r="G31" s="24"/>
      <c r="H31" s="24">
        <v>44</v>
      </c>
      <c r="I31" s="24"/>
      <c r="J31" s="24"/>
      <c r="K31" s="24">
        <v>44</v>
      </c>
      <c r="L31" s="24"/>
      <c r="M31" s="24">
        <v>88</v>
      </c>
      <c r="N31" s="24"/>
      <c r="O31" s="24">
        <v>44</v>
      </c>
      <c r="P31" s="24"/>
      <c r="Q31" s="24"/>
      <c r="R31" s="24"/>
      <c r="S31" s="24"/>
      <c r="T31" s="24"/>
      <c r="U31" s="24">
        <v>18</v>
      </c>
      <c r="V31" s="24"/>
      <c r="W31" s="24"/>
      <c r="X31" s="24"/>
      <c r="Y31" s="24">
        <v>88</v>
      </c>
      <c r="Z31" s="24"/>
      <c r="AA31" s="24"/>
      <c r="AB31" s="24"/>
      <c r="AC31" s="24"/>
      <c r="AD31" s="24">
        <v>88</v>
      </c>
      <c r="AE31" s="24"/>
      <c r="AF31" s="24"/>
      <c r="AG31" s="24"/>
      <c r="AH31" s="24"/>
      <c r="AI31" s="24"/>
      <c r="AJ31" s="24"/>
      <c r="AK31" s="24"/>
      <c r="AL31" s="24">
        <v>132</v>
      </c>
      <c r="AM31" s="24"/>
      <c r="AN31" s="24"/>
      <c r="AO31" s="24"/>
      <c r="AP31" s="24"/>
      <c r="AQ31" s="24"/>
      <c r="AR31" s="24">
        <v>44</v>
      </c>
      <c r="AS31" s="24"/>
      <c r="AT31" s="24"/>
      <c r="AU31" s="24"/>
      <c r="AV31" s="24"/>
      <c r="AW31" s="24"/>
      <c r="AX31" s="24"/>
      <c r="AY31" s="24"/>
      <c r="AZ31" s="24"/>
      <c r="BA31" s="24">
        <v>44</v>
      </c>
      <c r="BB31" s="24"/>
      <c r="BC31" s="24"/>
      <c r="BD31" s="24"/>
      <c r="BE31" s="24"/>
      <c r="BF31" s="24">
        <v>44</v>
      </c>
      <c r="BG31" s="24">
        <v>44</v>
      </c>
      <c r="BH31" s="24"/>
      <c r="BI31" s="24"/>
      <c r="BJ31" s="24"/>
      <c r="BK31" s="24">
        <v>766</v>
      </c>
    </row>
    <row r="32" spans="1:63" x14ac:dyDescent="0.15">
      <c r="A32">
        <v>100225</v>
      </c>
      <c r="B32" s="24"/>
      <c r="C32" s="24"/>
      <c r="D32" s="24"/>
      <c r="E32" s="24"/>
      <c r="F32" s="24"/>
      <c r="G32" s="24"/>
      <c r="H32" s="24"/>
      <c r="I32" s="24"/>
      <c r="J32" s="24"/>
      <c r="K32" s="24">
        <v>30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>
        <v>4</v>
      </c>
      <c r="Y32" s="24"/>
      <c r="Z32" s="24"/>
      <c r="AA32" s="24"/>
      <c r="AB32" s="24"/>
      <c r="AC32" s="24"/>
      <c r="AD32" s="24">
        <v>45</v>
      </c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>
        <v>45</v>
      </c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>
        <v>124</v>
      </c>
    </row>
    <row r="33" spans="1:63" x14ac:dyDescent="0.15">
      <c r="A33">
        <v>100226</v>
      </c>
      <c r="B33" s="24"/>
      <c r="C33" s="24"/>
      <c r="D33" s="24"/>
      <c r="E33" s="24"/>
      <c r="F33" s="24"/>
      <c r="G33" s="24"/>
      <c r="H33" s="24"/>
      <c r="I33" s="24"/>
      <c r="J33" s="24"/>
      <c r="K33" s="24">
        <v>20</v>
      </c>
      <c r="L33" s="24"/>
      <c r="M33" s="24">
        <v>20</v>
      </c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>
        <v>40</v>
      </c>
      <c r="Z33" s="24"/>
      <c r="AA33" s="24"/>
      <c r="AB33" s="24"/>
      <c r="AC33" s="24"/>
      <c r="AD33" s="24">
        <v>20</v>
      </c>
      <c r="AE33" s="24"/>
      <c r="AF33" s="24"/>
      <c r="AG33" s="24"/>
      <c r="AH33" s="24"/>
      <c r="AI33" s="24"/>
      <c r="AJ33" s="24"/>
      <c r="AK33" s="24"/>
      <c r="AL33" s="24">
        <v>40</v>
      </c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>
        <v>20</v>
      </c>
      <c r="AX33" s="24"/>
      <c r="AY33" s="24"/>
      <c r="AZ33" s="24"/>
      <c r="BA33" s="24"/>
      <c r="BB33" s="24"/>
      <c r="BC33" s="24"/>
      <c r="BD33" s="24"/>
      <c r="BE33" s="24"/>
      <c r="BF33" s="24"/>
      <c r="BG33" s="24">
        <v>20</v>
      </c>
      <c r="BH33" s="24"/>
      <c r="BI33" s="24"/>
      <c r="BJ33" s="24"/>
      <c r="BK33" s="24">
        <v>180</v>
      </c>
    </row>
    <row r="34" spans="1:63" x14ac:dyDescent="0.15">
      <c r="A34">
        <v>100227</v>
      </c>
      <c r="B34" s="24"/>
      <c r="C34" s="24"/>
      <c r="D34" s="24"/>
      <c r="E34" s="24"/>
      <c r="F34" s="24"/>
      <c r="G34" s="24"/>
      <c r="H34" s="24"/>
      <c r="I34" s="24"/>
      <c r="J34" s="24"/>
      <c r="K34" s="24">
        <v>14</v>
      </c>
      <c r="L34" s="24"/>
      <c r="M34" s="24"/>
      <c r="N34" s="24"/>
      <c r="O34" s="24"/>
      <c r="P34" s="24"/>
      <c r="Q34" s="24"/>
      <c r="R34" s="24"/>
      <c r="S34" s="24"/>
      <c r="T34" s="24"/>
      <c r="U34" s="24">
        <v>2</v>
      </c>
      <c r="V34" s="24"/>
      <c r="W34" s="24">
        <v>20</v>
      </c>
      <c r="X34" s="24"/>
      <c r="Y34" s="24"/>
      <c r="Z34" s="24"/>
      <c r="AA34" s="24"/>
      <c r="AB34" s="24"/>
      <c r="AC34" s="24"/>
      <c r="AD34" s="24">
        <v>20</v>
      </c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>
        <v>20</v>
      </c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>
        <v>20</v>
      </c>
      <c r="BJ34" s="24"/>
      <c r="BK34" s="24">
        <v>96</v>
      </c>
    </row>
    <row r="35" spans="1:63" x14ac:dyDescent="0.15">
      <c r="A35">
        <v>100228</v>
      </c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>
        <v>32</v>
      </c>
      <c r="U35" s="24"/>
      <c r="V35" s="24"/>
      <c r="W35" s="24"/>
      <c r="X35" s="24"/>
      <c r="Y35" s="24"/>
      <c r="Z35" s="24"/>
      <c r="AA35" s="24"/>
      <c r="AB35" s="24"/>
      <c r="AC35" s="24">
        <v>16</v>
      </c>
      <c r="AD35" s="24"/>
      <c r="AE35" s="24"/>
      <c r="AF35" s="24"/>
      <c r="AG35" s="24"/>
      <c r="AH35" s="24">
        <v>16</v>
      </c>
      <c r="AI35" s="24"/>
      <c r="AJ35" s="24"/>
      <c r="AK35" s="24"/>
      <c r="AL35" s="24"/>
      <c r="AM35" s="24"/>
      <c r="AN35" s="24"/>
      <c r="AO35" s="24"/>
      <c r="AP35" s="24"/>
      <c r="AQ35" s="24">
        <v>16</v>
      </c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>
        <v>16</v>
      </c>
      <c r="BF35" s="24"/>
      <c r="BG35" s="24"/>
      <c r="BH35" s="24">
        <v>16</v>
      </c>
      <c r="BI35" s="24"/>
      <c r="BJ35" s="24"/>
      <c r="BK35" s="24">
        <v>112</v>
      </c>
    </row>
    <row r="36" spans="1:63" x14ac:dyDescent="0.15">
      <c r="A36">
        <v>100229</v>
      </c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>
        <v>12</v>
      </c>
      <c r="Q36" s="24"/>
      <c r="R36" s="24"/>
      <c r="S36" s="24"/>
      <c r="T36" s="24">
        <v>36</v>
      </c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>
        <v>24</v>
      </c>
      <c r="AM36" s="24"/>
      <c r="AN36" s="24"/>
      <c r="AO36" s="24"/>
      <c r="AP36" s="24"/>
      <c r="AQ36" s="24"/>
      <c r="AR36" s="24"/>
      <c r="AS36" s="24">
        <v>12</v>
      </c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>
        <v>12</v>
      </c>
      <c r="BG36" s="24">
        <v>12</v>
      </c>
      <c r="BH36" s="24"/>
      <c r="BI36" s="24"/>
      <c r="BJ36" s="24"/>
      <c r="BK36" s="24">
        <v>108</v>
      </c>
    </row>
    <row r="37" spans="1:63" x14ac:dyDescent="0.15">
      <c r="A37">
        <v>100230</v>
      </c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>
        <v>12</v>
      </c>
      <c r="Q37" s="24"/>
      <c r="R37" s="24"/>
      <c r="S37" s="24">
        <v>12</v>
      </c>
      <c r="T37" s="24">
        <v>24</v>
      </c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>
        <v>24</v>
      </c>
      <c r="AM37" s="24"/>
      <c r="AN37" s="24"/>
      <c r="AO37" s="24"/>
      <c r="AP37" s="24"/>
      <c r="AQ37" s="24"/>
      <c r="AR37" s="24"/>
      <c r="AS37" s="24">
        <v>12</v>
      </c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>
        <v>12</v>
      </c>
      <c r="BG37" s="24"/>
      <c r="BH37" s="24"/>
      <c r="BI37" s="24"/>
      <c r="BJ37" s="24"/>
      <c r="BK37" s="24">
        <v>96</v>
      </c>
    </row>
    <row r="38" spans="1:63" x14ac:dyDescent="0.15">
      <c r="A38">
        <v>100231</v>
      </c>
      <c r="B38" s="24"/>
      <c r="C38" s="24"/>
      <c r="D38" s="24"/>
      <c r="E38" s="24"/>
      <c r="F38" s="24"/>
      <c r="G38" s="24"/>
      <c r="H38" s="24"/>
      <c r="I38" s="24"/>
      <c r="J38" s="24">
        <v>10</v>
      </c>
      <c r="K38" s="24"/>
      <c r="L38" s="24"/>
      <c r="M38" s="24"/>
      <c r="N38" s="24">
        <v>12</v>
      </c>
      <c r="O38" s="24"/>
      <c r="P38" s="24"/>
      <c r="Q38" s="24"/>
      <c r="R38" s="24"/>
      <c r="S38" s="24"/>
      <c r="T38" s="24"/>
      <c r="U38" s="24">
        <v>4</v>
      </c>
      <c r="V38" s="24"/>
      <c r="W38" s="24"/>
      <c r="X38" s="24"/>
      <c r="Y38" s="24"/>
      <c r="Z38" s="24"/>
      <c r="AA38" s="24">
        <v>24</v>
      </c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>
        <v>24</v>
      </c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>
        <v>74</v>
      </c>
    </row>
    <row r="39" spans="1:63" x14ac:dyDescent="0.15">
      <c r="A39">
        <v>100232</v>
      </c>
      <c r="B39" s="24"/>
      <c r="C39" s="24"/>
      <c r="D39" s="24"/>
      <c r="E39" s="24"/>
      <c r="F39" s="24"/>
      <c r="G39" s="24"/>
      <c r="H39" s="24"/>
      <c r="I39" s="24"/>
      <c r="J39" s="24">
        <v>8</v>
      </c>
      <c r="K39" s="24"/>
      <c r="L39" s="24"/>
      <c r="M39" s="24"/>
      <c r="N39" s="24">
        <v>8</v>
      </c>
      <c r="O39" s="24"/>
      <c r="P39" s="24"/>
      <c r="Q39" s="24"/>
      <c r="R39" s="24"/>
      <c r="S39" s="24">
        <v>16</v>
      </c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>
        <v>32</v>
      </c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>
        <v>64</v>
      </c>
    </row>
    <row r="40" spans="1:63" x14ac:dyDescent="0.15">
      <c r="A40">
        <v>100233</v>
      </c>
      <c r="B40" s="24"/>
      <c r="C40" s="24"/>
      <c r="D40" s="24"/>
      <c r="E40" s="24"/>
      <c r="F40" s="24"/>
      <c r="G40" s="24"/>
      <c r="H40" s="24">
        <v>80</v>
      </c>
      <c r="I40" s="24"/>
      <c r="J40" s="24"/>
      <c r="K40" s="24"/>
      <c r="L40" s="24"/>
      <c r="M40" s="24">
        <v>200</v>
      </c>
      <c r="N40" s="24"/>
      <c r="O40" s="24">
        <v>80</v>
      </c>
      <c r="P40" s="24"/>
      <c r="Q40" s="24"/>
      <c r="R40" s="24"/>
      <c r="S40" s="24"/>
      <c r="T40" s="24"/>
      <c r="U40" s="24">
        <v>40</v>
      </c>
      <c r="V40" s="24">
        <v>200</v>
      </c>
      <c r="W40" s="24"/>
      <c r="X40" s="24">
        <v>40</v>
      </c>
      <c r="Y40" s="24"/>
      <c r="Z40" s="24"/>
      <c r="AA40" s="24"/>
      <c r="AB40" s="24"/>
      <c r="AC40" s="24"/>
      <c r="AD40" s="24">
        <v>160</v>
      </c>
      <c r="AE40" s="24"/>
      <c r="AF40" s="24">
        <v>160</v>
      </c>
      <c r="AG40" s="24"/>
      <c r="AH40" s="24"/>
      <c r="AI40" s="24"/>
      <c r="AJ40" s="24">
        <v>40</v>
      </c>
      <c r="AK40" s="24"/>
      <c r="AL40" s="24"/>
      <c r="AM40" s="24">
        <v>80</v>
      </c>
      <c r="AN40" s="24"/>
      <c r="AO40" s="24"/>
      <c r="AP40" s="24">
        <v>120</v>
      </c>
      <c r="AQ40" s="24">
        <v>40</v>
      </c>
      <c r="AR40" s="24">
        <v>40</v>
      </c>
      <c r="AS40" s="24"/>
      <c r="AT40" s="24"/>
      <c r="AU40" s="24"/>
      <c r="AV40" s="24"/>
      <c r="AW40" s="24">
        <v>80</v>
      </c>
      <c r="AX40" s="24"/>
      <c r="AY40" s="24"/>
      <c r="AZ40" s="24"/>
      <c r="BA40" s="24">
        <v>120</v>
      </c>
      <c r="BB40" s="24"/>
      <c r="BC40" s="24">
        <v>120</v>
      </c>
      <c r="BD40" s="24"/>
      <c r="BE40" s="24">
        <v>40</v>
      </c>
      <c r="BF40" s="24">
        <v>80</v>
      </c>
      <c r="BG40" s="24">
        <v>40</v>
      </c>
      <c r="BH40" s="24"/>
      <c r="BI40" s="24">
        <v>120</v>
      </c>
      <c r="BJ40" s="24"/>
      <c r="BK40" s="24">
        <v>1880</v>
      </c>
    </row>
    <row r="41" spans="1:63" x14ac:dyDescent="0.15">
      <c r="A41">
        <v>100234</v>
      </c>
      <c r="B41" s="24"/>
      <c r="C41" s="24"/>
      <c r="D41" s="24"/>
      <c r="E41" s="24"/>
      <c r="F41" s="24"/>
      <c r="G41" s="24"/>
      <c r="H41" s="24">
        <v>30</v>
      </c>
      <c r="I41" s="24"/>
      <c r="J41" s="24"/>
      <c r="K41" s="24"/>
      <c r="L41" s="24"/>
      <c r="M41" s="24">
        <v>60</v>
      </c>
      <c r="N41" s="24"/>
      <c r="O41" s="24"/>
      <c r="P41" s="24"/>
      <c r="Q41" s="24"/>
      <c r="R41" s="24"/>
      <c r="S41" s="24"/>
      <c r="T41" s="24"/>
      <c r="U41" s="24">
        <v>30</v>
      </c>
      <c r="V41" s="24"/>
      <c r="W41" s="24">
        <v>90</v>
      </c>
      <c r="X41" s="24">
        <v>30</v>
      </c>
      <c r="Y41" s="24"/>
      <c r="Z41" s="24"/>
      <c r="AA41" s="24"/>
      <c r="AB41" s="24"/>
      <c r="AC41" s="24"/>
      <c r="AD41" s="24">
        <v>30</v>
      </c>
      <c r="AE41" s="24">
        <v>30</v>
      </c>
      <c r="AF41" s="24">
        <v>30</v>
      </c>
      <c r="AG41" s="24"/>
      <c r="AH41" s="24"/>
      <c r="AI41" s="24"/>
      <c r="AJ41" s="24">
        <v>30</v>
      </c>
      <c r="AK41" s="24"/>
      <c r="AL41" s="24"/>
      <c r="AM41" s="24">
        <v>30</v>
      </c>
      <c r="AN41" s="24"/>
      <c r="AO41" s="24"/>
      <c r="AP41" s="24"/>
      <c r="AQ41" s="24"/>
      <c r="AR41" s="24"/>
      <c r="AS41" s="24"/>
      <c r="AT41" s="24"/>
      <c r="AU41" s="24"/>
      <c r="AV41" s="24"/>
      <c r="AW41" s="24">
        <v>30</v>
      </c>
      <c r="AX41" s="24"/>
      <c r="AY41" s="24"/>
      <c r="AZ41" s="24"/>
      <c r="BA41" s="24">
        <v>30</v>
      </c>
      <c r="BB41" s="24"/>
      <c r="BC41" s="24">
        <v>30</v>
      </c>
      <c r="BD41" s="24"/>
      <c r="BE41" s="24">
        <v>30</v>
      </c>
      <c r="BF41" s="24"/>
      <c r="BG41" s="24">
        <v>30</v>
      </c>
      <c r="BH41" s="24"/>
      <c r="BI41" s="24">
        <v>30</v>
      </c>
      <c r="BJ41" s="24"/>
      <c r="BK41" s="24">
        <v>570</v>
      </c>
    </row>
    <row r="42" spans="1:63" x14ac:dyDescent="0.15">
      <c r="A42">
        <v>100235</v>
      </c>
      <c r="B42" s="24"/>
      <c r="C42" s="24"/>
      <c r="D42" s="24"/>
      <c r="E42" s="24"/>
      <c r="F42" s="24"/>
      <c r="G42" s="24"/>
      <c r="H42" s="24">
        <v>1600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>
        <v>-440</v>
      </c>
      <c r="V42" s="24"/>
      <c r="W42" s="24"/>
      <c r="X42" s="24"/>
      <c r="Y42" s="24"/>
      <c r="Z42" s="24"/>
      <c r="AA42" s="24"/>
      <c r="AB42" s="24"/>
      <c r="AC42" s="24"/>
      <c r="AD42" s="24"/>
      <c r="AE42" s="24">
        <v>400</v>
      </c>
      <c r="AF42" s="24"/>
      <c r="AG42" s="24"/>
      <c r="AH42" s="24">
        <v>5000</v>
      </c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>
        <v>6560</v>
      </c>
    </row>
    <row r="43" spans="1:63" x14ac:dyDescent="0.15">
      <c r="A43">
        <v>100236</v>
      </c>
      <c r="B43" s="24">
        <v>585</v>
      </c>
      <c r="C43" s="24">
        <v>270</v>
      </c>
      <c r="D43" s="24">
        <v>540</v>
      </c>
      <c r="E43" s="24"/>
      <c r="F43" s="24"/>
      <c r="G43" s="24">
        <v>1170</v>
      </c>
      <c r="H43" s="24"/>
      <c r="I43" s="24">
        <v>225</v>
      </c>
      <c r="J43" s="24">
        <v>135</v>
      </c>
      <c r="K43" s="24">
        <v>135</v>
      </c>
      <c r="L43" s="24">
        <v>135</v>
      </c>
      <c r="M43" s="24"/>
      <c r="N43" s="24">
        <v>45</v>
      </c>
      <c r="O43" s="24"/>
      <c r="P43" s="24">
        <v>45</v>
      </c>
      <c r="Q43" s="24"/>
      <c r="R43" s="24"/>
      <c r="S43" s="24"/>
      <c r="T43" s="24">
        <v>630</v>
      </c>
      <c r="U43" s="24">
        <v>45</v>
      </c>
      <c r="V43" s="24"/>
      <c r="W43" s="24"/>
      <c r="X43" s="24"/>
      <c r="Y43" s="24"/>
      <c r="Z43" s="24"/>
      <c r="AA43" s="24">
        <v>315</v>
      </c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>
        <v>180</v>
      </c>
      <c r="AM43" s="24"/>
      <c r="AN43" s="24"/>
      <c r="AO43" s="24">
        <v>675</v>
      </c>
      <c r="AP43" s="24"/>
      <c r="AQ43" s="24"/>
      <c r="AR43" s="24">
        <v>180</v>
      </c>
      <c r="AS43" s="24">
        <v>180</v>
      </c>
      <c r="AT43" s="24"/>
      <c r="AU43" s="24"/>
      <c r="AV43" s="24"/>
      <c r="AW43" s="24">
        <v>135</v>
      </c>
      <c r="AX43" s="24">
        <v>315</v>
      </c>
      <c r="AY43" s="24">
        <v>45</v>
      </c>
      <c r="AZ43" s="24">
        <v>90</v>
      </c>
      <c r="BA43" s="24">
        <v>180</v>
      </c>
      <c r="BB43" s="24">
        <v>90</v>
      </c>
      <c r="BC43" s="24">
        <v>90</v>
      </c>
      <c r="BD43" s="24">
        <v>585</v>
      </c>
      <c r="BE43" s="24">
        <v>450</v>
      </c>
      <c r="BF43" s="24">
        <v>45</v>
      </c>
      <c r="BG43" s="24">
        <v>45</v>
      </c>
      <c r="BH43" s="24">
        <v>90</v>
      </c>
      <c r="BI43" s="24">
        <v>270</v>
      </c>
      <c r="BJ43" s="24">
        <v>225</v>
      </c>
      <c r="BK43" s="24">
        <v>8145</v>
      </c>
    </row>
    <row r="44" spans="1:63" x14ac:dyDescent="0.15">
      <c r="A44">
        <v>100237</v>
      </c>
      <c r="B44" s="24">
        <v>360</v>
      </c>
      <c r="C44" s="24">
        <v>144</v>
      </c>
      <c r="D44" s="24"/>
      <c r="E44" s="24"/>
      <c r="F44" s="24"/>
      <c r="G44" s="24">
        <v>180</v>
      </c>
      <c r="H44" s="24"/>
      <c r="I44" s="24">
        <v>36</v>
      </c>
      <c r="J44" s="24">
        <v>108</v>
      </c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>
        <v>396</v>
      </c>
      <c r="AM44" s="24"/>
      <c r="AN44" s="24"/>
      <c r="AO44" s="24"/>
      <c r="AP44" s="24">
        <v>36</v>
      </c>
      <c r="AQ44" s="24"/>
      <c r="AR44" s="24">
        <v>36</v>
      </c>
      <c r="AS44" s="24"/>
      <c r="AT44" s="24"/>
      <c r="AU44" s="24"/>
      <c r="AV44" s="24"/>
      <c r="AW44" s="24">
        <v>72</v>
      </c>
      <c r="AX44" s="24"/>
      <c r="AY44" s="24"/>
      <c r="AZ44" s="24">
        <v>72</v>
      </c>
      <c r="BA44" s="24"/>
      <c r="BB44" s="24"/>
      <c r="BC44" s="24"/>
      <c r="BD44" s="24"/>
      <c r="BE44" s="24"/>
      <c r="BF44" s="24">
        <v>108</v>
      </c>
      <c r="BG44" s="24">
        <v>36</v>
      </c>
      <c r="BH44" s="24"/>
      <c r="BI44" s="24"/>
      <c r="BJ44" s="24"/>
      <c r="BK44" s="24">
        <v>1584</v>
      </c>
    </row>
    <row r="45" spans="1:63" x14ac:dyDescent="0.15">
      <c r="A45">
        <v>100238</v>
      </c>
      <c r="B45" s="24">
        <v>324</v>
      </c>
      <c r="C45" s="24">
        <v>54</v>
      </c>
      <c r="D45" s="24">
        <v>27</v>
      </c>
      <c r="E45" s="24"/>
      <c r="F45" s="24"/>
      <c r="G45" s="24">
        <v>108</v>
      </c>
      <c r="H45" s="24"/>
      <c r="I45" s="24">
        <v>108</v>
      </c>
      <c r="J45" s="24"/>
      <c r="K45" s="24"/>
      <c r="L45" s="24"/>
      <c r="M45" s="24"/>
      <c r="N45" s="24">
        <v>135</v>
      </c>
      <c r="O45" s="24"/>
      <c r="P45" s="24"/>
      <c r="Q45" s="24"/>
      <c r="R45" s="24"/>
      <c r="S45" s="24"/>
      <c r="T45" s="24">
        <v>27</v>
      </c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>
        <v>108</v>
      </c>
      <c r="AM45" s="24"/>
      <c r="AN45" s="24">
        <v>216</v>
      </c>
      <c r="AO45" s="24"/>
      <c r="AP45" s="24">
        <v>27</v>
      </c>
      <c r="AQ45" s="24"/>
      <c r="AR45" s="24">
        <v>54</v>
      </c>
      <c r="AS45" s="24"/>
      <c r="AT45" s="24">
        <v>108</v>
      </c>
      <c r="AU45" s="24"/>
      <c r="AV45" s="24"/>
      <c r="AW45" s="24">
        <v>27</v>
      </c>
      <c r="AX45" s="24"/>
      <c r="AY45" s="24"/>
      <c r="AZ45" s="24">
        <v>27</v>
      </c>
      <c r="BA45" s="24">
        <v>108</v>
      </c>
      <c r="BB45" s="24"/>
      <c r="BC45" s="24"/>
      <c r="BD45" s="24"/>
      <c r="BE45" s="24"/>
      <c r="BF45" s="24">
        <v>81</v>
      </c>
      <c r="BG45" s="24">
        <v>27</v>
      </c>
      <c r="BH45" s="24"/>
      <c r="BI45" s="24"/>
      <c r="BJ45" s="24">
        <v>54</v>
      </c>
      <c r="BK45" s="24">
        <v>1620</v>
      </c>
    </row>
    <row r="46" spans="1:63" x14ac:dyDescent="0.15">
      <c r="A46">
        <v>100239</v>
      </c>
      <c r="B46" s="24"/>
      <c r="C46" s="24">
        <v>128</v>
      </c>
      <c r="D46" s="24">
        <v>128</v>
      </c>
      <c r="E46" s="24"/>
      <c r="F46" s="24"/>
      <c r="G46" s="24">
        <v>32</v>
      </c>
      <c r="H46" s="24"/>
      <c r="I46" s="24">
        <v>128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>
        <v>-160</v>
      </c>
      <c r="V46" s="24"/>
      <c r="W46" s="24"/>
      <c r="X46" s="24"/>
      <c r="Y46" s="24"/>
      <c r="Z46" s="24"/>
      <c r="AA46" s="24">
        <v>128</v>
      </c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>
        <v>32</v>
      </c>
      <c r="AZ46" s="24">
        <v>96</v>
      </c>
      <c r="BA46" s="24"/>
      <c r="BB46" s="24">
        <v>64</v>
      </c>
      <c r="BC46" s="24"/>
      <c r="BD46" s="24"/>
      <c r="BE46" s="24"/>
      <c r="BF46" s="24"/>
      <c r="BG46" s="24"/>
      <c r="BH46" s="24"/>
      <c r="BI46" s="24"/>
      <c r="BJ46" s="24"/>
      <c r="BK46" s="24">
        <v>576</v>
      </c>
    </row>
    <row r="47" spans="1:63" x14ac:dyDescent="0.15">
      <c r="A47">
        <v>100240</v>
      </c>
      <c r="B47" s="24">
        <v>60</v>
      </c>
      <c r="C47" s="24"/>
      <c r="D47" s="24"/>
      <c r="E47" s="24"/>
      <c r="F47" s="24"/>
      <c r="G47" s="24">
        <v>30</v>
      </c>
      <c r="H47" s="24"/>
      <c r="I47" s="24"/>
      <c r="J47" s="24"/>
      <c r="K47" s="24"/>
      <c r="L47" s="24"/>
      <c r="M47" s="24"/>
      <c r="N47" s="24"/>
      <c r="O47" s="24"/>
      <c r="P47" s="24">
        <v>60</v>
      </c>
      <c r="Q47" s="24"/>
      <c r="R47" s="24"/>
      <c r="S47" s="24"/>
      <c r="T47" s="24"/>
      <c r="U47" s="24">
        <v>60</v>
      </c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30</v>
      </c>
      <c r="AG47" s="24"/>
      <c r="AH47" s="24"/>
      <c r="AI47" s="24"/>
      <c r="AJ47" s="24">
        <v>30</v>
      </c>
      <c r="AK47" s="24"/>
      <c r="AL47" s="24">
        <v>60</v>
      </c>
      <c r="AM47" s="24"/>
      <c r="AN47" s="24"/>
      <c r="AO47" s="24"/>
      <c r="AP47" s="24"/>
      <c r="AQ47" s="24"/>
      <c r="AR47" s="24">
        <v>30</v>
      </c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>
        <v>30</v>
      </c>
      <c r="BF47" s="24">
        <v>30</v>
      </c>
      <c r="BG47" s="24"/>
      <c r="BH47" s="24"/>
      <c r="BI47" s="24"/>
      <c r="BJ47" s="24"/>
      <c r="BK47" s="24">
        <v>420</v>
      </c>
    </row>
    <row r="48" spans="1:63" x14ac:dyDescent="0.15">
      <c r="A48">
        <v>100241</v>
      </c>
      <c r="B48" s="24"/>
      <c r="C48" s="24"/>
      <c r="D48" s="24">
        <v>80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>
        <v>80</v>
      </c>
      <c r="Q48" s="24"/>
      <c r="R48" s="24"/>
      <c r="S48" s="24"/>
      <c r="T48" s="24"/>
      <c r="U48" s="24">
        <v>160</v>
      </c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>
        <v>160</v>
      </c>
      <c r="AN48" s="24">
        <v>480</v>
      </c>
      <c r="AO48" s="24"/>
      <c r="AP48" s="24"/>
      <c r="AQ48" s="24"/>
      <c r="AR48" s="24">
        <v>80</v>
      </c>
      <c r="AS48" s="24"/>
      <c r="AT48" s="24"/>
      <c r="AU48" s="24"/>
      <c r="AV48" s="24"/>
      <c r="AW48" s="24"/>
      <c r="AX48" s="24"/>
      <c r="AY48" s="24"/>
      <c r="AZ48" s="24"/>
      <c r="BA48" s="24">
        <v>80</v>
      </c>
      <c r="BB48" s="24"/>
      <c r="BC48" s="24"/>
      <c r="BD48" s="24"/>
      <c r="BE48" s="24"/>
      <c r="BF48" s="24"/>
      <c r="BG48" s="24">
        <v>80</v>
      </c>
      <c r="BH48" s="24"/>
      <c r="BI48" s="24"/>
      <c r="BJ48" s="24"/>
      <c r="BK48" s="24">
        <v>1200</v>
      </c>
    </row>
    <row r="49" spans="1:63" x14ac:dyDescent="0.15">
      <c r="A49">
        <v>100242</v>
      </c>
      <c r="B49" s="24">
        <v>96</v>
      </c>
      <c r="C49" s="24">
        <v>96</v>
      </c>
      <c r="D49" s="24">
        <v>192</v>
      </c>
      <c r="E49" s="24"/>
      <c r="F49" s="24"/>
      <c r="G49" s="24"/>
      <c r="H49" s="24">
        <v>240</v>
      </c>
      <c r="I49" s="24"/>
      <c r="J49" s="24">
        <v>432</v>
      </c>
      <c r="K49" s="24">
        <v>96</v>
      </c>
      <c r="L49" s="24">
        <v>48</v>
      </c>
      <c r="M49" s="24"/>
      <c r="N49" s="24">
        <v>528</v>
      </c>
      <c r="O49" s="24">
        <v>240</v>
      </c>
      <c r="P49" s="24"/>
      <c r="Q49" s="24"/>
      <c r="R49" s="24"/>
      <c r="S49" s="24"/>
      <c r="T49" s="24"/>
      <c r="U49" s="24">
        <v>72</v>
      </c>
      <c r="V49" s="24"/>
      <c r="W49" s="24">
        <v>96</v>
      </c>
      <c r="X49" s="24"/>
      <c r="Y49" s="24"/>
      <c r="Z49" s="24"/>
      <c r="AA49" s="24"/>
      <c r="AB49" s="24"/>
      <c r="AC49" s="24"/>
      <c r="AD49" s="24">
        <v>528</v>
      </c>
      <c r="AE49" s="24"/>
      <c r="AF49" s="24"/>
      <c r="AG49" s="24"/>
      <c r="AH49" s="24"/>
      <c r="AI49" s="24"/>
      <c r="AJ49" s="24">
        <v>96</v>
      </c>
      <c r="AK49" s="24"/>
      <c r="AL49" s="24">
        <v>240</v>
      </c>
      <c r="AM49" s="24"/>
      <c r="AN49" s="24"/>
      <c r="AO49" s="24"/>
      <c r="AP49" s="24"/>
      <c r="AQ49" s="24"/>
      <c r="AR49" s="24">
        <v>288</v>
      </c>
      <c r="AS49" s="24"/>
      <c r="AT49" s="24"/>
      <c r="AU49" s="24"/>
      <c r="AV49" s="24"/>
      <c r="AW49" s="24">
        <v>48</v>
      </c>
      <c r="AX49" s="24">
        <v>96</v>
      </c>
      <c r="AY49" s="24"/>
      <c r="AZ49" s="24"/>
      <c r="BA49" s="24">
        <v>96</v>
      </c>
      <c r="BB49" s="24"/>
      <c r="BC49" s="24">
        <v>240</v>
      </c>
      <c r="BD49" s="24"/>
      <c r="BE49" s="24">
        <v>48</v>
      </c>
      <c r="BF49" s="24">
        <v>240</v>
      </c>
      <c r="BG49" s="24">
        <v>144</v>
      </c>
      <c r="BH49" s="24"/>
      <c r="BI49" s="24">
        <v>192</v>
      </c>
      <c r="BJ49" s="24"/>
      <c r="BK49" s="24">
        <v>4392</v>
      </c>
    </row>
    <row r="50" spans="1:63" x14ac:dyDescent="0.15">
      <c r="A50">
        <v>100243</v>
      </c>
      <c r="B50" s="24">
        <v>48</v>
      </c>
      <c r="C50" s="24"/>
      <c r="D50" s="24">
        <v>48</v>
      </c>
      <c r="E50" s="24"/>
      <c r="F50" s="24"/>
      <c r="G50" s="24">
        <v>72</v>
      </c>
      <c r="H50" s="24">
        <v>144</v>
      </c>
      <c r="I50" s="24">
        <v>240</v>
      </c>
      <c r="J50" s="24">
        <v>312</v>
      </c>
      <c r="K50" s="24">
        <v>96</v>
      </c>
      <c r="L50" s="24">
        <v>192</v>
      </c>
      <c r="M50" s="24"/>
      <c r="N50" s="24">
        <v>144</v>
      </c>
      <c r="O50" s="24">
        <v>384</v>
      </c>
      <c r="P50" s="24"/>
      <c r="Q50" s="24"/>
      <c r="R50" s="24"/>
      <c r="S50" s="24"/>
      <c r="T50" s="24"/>
      <c r="U50" s="24">
        <v>120</v>
      </c>
      <c r="V50" s="24"/>
      <c r="W50" s="24"/>
      <c r="X50" s="24"/>
      <c r="Y50" s="24"/>
      <c r="Z50" s="24"/>
      <c r="AA50" s="24">
        <v>96</v>
      </c>
      <c r="AB50" s="24"/>
      <c r="AC50" s="24"/>
      <c r="AD50" s="24">
        <v>48</v>
      </c>
      <c r="AE50" s="24"/>
      <c r="AF50" s="24"/>
      <c r="AG50" s="24"/>
      <c r="AH50" s="24"/>
      <c r="AI50" s="24"/>
      <c r="AJ50" s="24"/>
      <c r="AK50" s="24">
        <v>336</v>
      </c>
      <c r="AL50" s="24">
        <v>120</v>
      </c>
      <c r="AM50" s="24"/>
      <c r="AN50" s="24"/>
      <c r="AO50" s="24"/>
      <c r="AP50" s="24"/>
      <c r="AQ50" s="24"/>
      <c r="AR50" s="24">
        <v>240</v>
      </c>
      <c r="AS50" s="24"/>
      <c r="AT50" s="24"/>
      <c r="AU50" s="24"/>
      <c r="AV50" s="24"/>
      <c r="AW50" s="24">
        <v>24</v>
      </c>
      <c r="AX50" s="24">
        <v>168</v>
      </c>
      <c r="AY50" s="24"/>
      <c r="AZ50" s="24"/>
      <c r="BA50" s="24">
        <v>24</v>
      </c>
      <c r="BB50" s="24"/>
      <c r="BC50" s="24">
        <v>144</v>
      </c>
      <c r="BD50" s="24"/>
      <c r="BE50" s="24"/>
      <c r="BF50" s="24"/>
      <c r="BG50" s="24">
        <v>120</v>
      </c>
      <c r="BH50" s="24"/>
      <c r="BI50" s="24"/>
      <c r="BJ50" s="24"/>
      <c r="BK50" s="24">
        <v>3120</v>
      </c>
    </row>
    <row r="51" spans="1:63" x14ac:dyDescent="0.15">
      <c r="A51">
        <v>100244</v>
      </c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>
        <v>48</v>
      </c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>
        <v>48</v>
      </c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>
        <v>48</v>
      </c>
      <c r="BG51" s="24"/>
      <c r="BH51" s="24"/>
      <c r="BI51" s="24"/>
      <c r="BJ51" s="24"/>
      <c r="BK51" s="24">
        <v>144</v>
      </c>
    </row>
    <row r="52" spans="1:63" x14ac:dyDescent="0.15">
      <c r="A52">
        <v>100245</v>
      </c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>
        <v>64</v>
      </c>
      <c r="AM52" s="24"/>
      <c r="AN52" s="24"/>
      <c r="AO52" s="24"/>
      <c r="AP52" s="24"/>
      <c r="AQ52" s="24"/>
      <c r="AR52" s="24"/>
      <c r="AS52" s="24"/>
      <c r="AT52" s="24">
        <v>32</v>
      </c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>
        <v>32</v>
      </c>
      <c r="BF52" s="24"/>
      <c r="BG52" s="24"/>
      <c r="BH52" s="24"/>
      <c r="BI52" s="24"/>
      <c r="BJ52" s="24"/>
      <c r="BK52" s="24">
        <v>128</v>
      </c>
    </row>
    <row r="53" spans="1:63" x14ac:dyDescent="0.15">
      <c r="A53">
        <v>100246</v>
      </c>
      <c r="B53" s="24"/>
      <c r="C53" s="24"/>
      <c r="D53" s="24"/>
      <c r="E53" s="24"/>
      <c r="F53" s="24"/>
      <c r="G53" s="24"/>
      <c r="H53" s="24"/>
      <c r="I53" s="24"/>
      <c r="J53" s="24">
        <v>128</v>
      </c>
      <c r="K53" s="24"/>
      <c r="L53" s="24">
        <v>128</v>
      </c>
      <c r="M53" s="24"/>
      <c r="N53" s="24"/>
      <c r="O53" s="24"/>
      <c r="P53" s="24">
        <v>128</v>
      </c>
      <c r="Q53" s="24"/>
      <c r="R53" s="24"/>
      <c r="S53" s="24"/>
      <c r="T53" s="24">
        <v>256</v>
      </c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128</v>
      </c>
      <c r="AG53" s="24"/>
      <c r="AH53" s="24"/>
      <c r="AI53" s="24"/>
      <c r="AJ53" s="24">
        <v>128</v>
      </c>
      <c r="AK53" s="24"/>
      <c r="AL53" s="24"/>
      <c r="AM53" s="24">
        <v>128</v>
      </c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>
        <v>128</v>
      </c>
      <c r="BI53" s="24"/>
      <c r="BJ53" s="24">
        <v>128</v>
      </c>
      <c r="BK53" s="24">
        <v>1280</v>
      </c>
    </row>
    <row r="54" spans="1:63" x14ac:dyDescent="0.15">
      <c r="A54">
        <v>100247</v>
      </c>
      <c r="B54" s="24"/>
      <c r="C54" s="24"/>
      <c r="D54" s="24"/>
      <c r="E54" s="24"/>
      <c r="F54" s="24"/>
      <c r="G54" s="24"/>
      <c r="H54" s="24">
        <v>64</v>
      </c>
      <c r="I54" s="24">
        <v>192</v>
      </c>
      <c r="J54" s="24">
        <v>64</v>
      </c>
      <c r="K54" s="24"/>
      <c r="L54" s="24"/>
      <c r="M54" s="24">
        <v>320</v>
      </c>
      <c r="N54" s="24"/>
      <c r="O54" s="24">
        <v>128</v>
      </c>
      <c r="P54" s="24"/>
      <c r="Q54" s="24">
        <v>256</v>
      </c>
      <c r="R54" s="24">
        <v>256</v>
      </c>
      <c r="S54" s="24"/>
      <c r="T54" s="24"/>
      <c r="U54" s="24"/>
      <c r="V54" s="24">
        <v>256</v>
      </c>
      <c r="W54" s="24"/>
      <c r="X54" s="24">
        <v>64</v>
      </c>
      <c r="Y54" s="24"/>
      <c r="Z54" s="24">
        <v>128</v>
      </c>
      <c r="AA54" s="24"/>
      <c r="AB54" s="24"/>
      <c r="AC54" s="24"/>
      <c r="AD54" s="24">
        <v>64</v>
      </c>
      <c r="AE54" s="24">
        <v>64</v>
      </c>
      <c r="AF54" s="24">
        <v>128</v>
      </c>
      <c r="AG54" s="24"/>
      <c r="AH54" s="24"/>
      <c r="AI54" s="24"/>
      <c r="AJ54" s="24">
        <v>320</v>
      </c>
      <c r="AK54" s="24"/>
      <c r="AL54" s="24"/>
      <c r="AM54" s="24"/>
      <c r="AN54" s="24"/>
      <c r="AO54" s="24"/>
      <c r="AP54" s="24">
        <v>128</v>
      </c>
      <c r="AQ54" s="24"/>
      <c r="AR54" s="24"/>
      <c r="AS54" s="24"/>
      <c r="AT54" s="24">
        <v>64</v>
      </c>
      <c r="AU54" s="24"/>
      <c r="AV54" s="24"/>
      <c r="AW54" s="24">
        <v>448</v>
      </c>
      <c r="AX54" s="24"/>
      <c r="AY54" s="24"/>
      <c r="AZ54" s="24"/>
      <c r="BA54" s="24">
        <v>192</v>
      </c>
      <c r="BB54" s="24"/>
      <c r="BC54" s="24">
        <v>448</v>
      </c>
      <c r="BD54" s="24"/>
      <c r="BE54" s="24">
        <v>64</v>
      </c>
      <c r="BF54" s="24">
        <v>256</v>
      </c>
      <c r="BG54" s="24">
        <v>448</v>
      </c>
      <c r="BH54" s="24"/>
      <c r="BI54" s="24">
        <v>576</v>
      </c>
      <c r="BJ54" s="24"/>
      <c r="BK54" s="24">
        <v>4928</v>
      </c>
    </row>
    <row r="55" spans="1:63" x14ac:dyDescent="0.15">
      <c r="A55">
        <v>100248</v>
      </c>
      <c r="B55" s="24"/>
      <c r="C55" s="24"/>
      <c r="D55" s="24"/>
      <c r="E55" s="24"/>
      <c r="F55" s="24"/>
      <c r="G55" s="24"/>
      <c r="H55" s="24"/>
      <c r="I55" s="24"/>
      <c r="J55" s="24">
        <v>48</v>
      </c>
      <c r="K55" s="24"/>
      <c r="L55" s="24"/>
      <c r="M55" s="24">
        <v>240</v>
      </c>
      <c r="N55" s="24"/>
      <c r="O55" s="24">
        <v>96</v>
      </c>
      <c r="P55" s="24"/>
      <c r="Q55" s="24">
        <v>288</v>
      </c>
      <c r="R55" s="24">
        <v>288</v>
      </c>
      <c r="S55" s="24"/>
      <c r="T55" s="24"/>
      <c r="U55" s="24"/>
      <c r="V55" s="24">
        <v>192</v>
      </c>
      <c r="W55" s="24"/>
      <c r="X55" s="24">
        <v>48</v>
      </c>
      <c r="Y55" s="24"/>
      <c r="Z55" s="24">
        <v>192</v>
      </c>
      <c r="AA55" s="24"/>
      <c r="AB55" s="24"/>
      <c r="AC55" s="24"/>
      <c r="AD55" s="24">
        <v>96</v>
      </c>
      <c r="AE55" s="24">
        <v>48</v>
      </c>
      <c r="AF55" s="24">
        <v>192</v>
      </c>
      <c r="AG55" s="24"/>
      <c r="AH55" s="24"/>
      <c r="AI55" s="24">
        <v>240</v>
      </c>
      <c r="AJ55" s="24">
        <v>96</v>
      </c>
      <c r="AK55" s="24"/>
      <c r="AL55" s="24"/>
      <c r="AM55" s="24"/>
      <c r="AN55" s="24"/>
      <c r="AO55" s="24">
        <v>240</v>
      </c>
      <c r="AP55" s="24">
        <v>144</v>
      </c>
      <c r="AQ55" s="24">
        <v>48</v>
      </c>
      <c r="AR55" s="24">
        <v>48</v>
      </c>
      <c r="AS55" s="24"/>
      <c r="AT55" s="24"/>
      <c r="AU55" s="24"/>
      <c r="AV55" s="24"/>
      <c r="AW55" s="24"/>
      <c r="AX55" s="24"/>
      <c r="AY55" s="24"/>
      <c r="AZ55" s="24"/>
      <c r="BA55" s="24">
        <v>48</v>
      </c>
      <c r="BB55" s="24"/>
      <c r="BC55" s="24">
        <v>336</v>
      </c>
      <c r="BD55" s="24"/>
      <c r="BE55" s="24"/>
      <c r="BF55" s="24">
        <v>144</v>
      </c>
      <c r="BG55" s="24">
        <v>192</v>
      </c>
      <c r="BH55" s="24"/>
      <c r="BI55" s="24">
        <v>96</v>
      </c>
      <c r="BJ55" s="24"/>
      <c r="BK55" s="24">
        <v>3360</v>
      </c>
    </row>
    <row r="56" spans="1:63" x14ac:dyDescent="0.15">
      <c r="A56">
        <v>100249</v>
      </c>
      <c r="B56" s="24"/>
      <c r="C56" s="24">
        <v>192</v>
      </c>
      <c r="D56" s="24">
        <v>128</v>
      </c>
      <c r="E56" s="24"/>
      <c r="F56" s="24"/>
      <c r="G56" s="24"/>
      <c r="H56" s="24"/>
      <c r="I56" s="24">
        <v>64</v>
      </c>
      <c r="J56" s="24"/>
      <c r="K56" s="24"/>
      <c r="L56" s="24"/>
      <c r="M56" s="24"/>
      <c r="N56" s="24">
        <v>192</v>
      </c>
      <c r="O56" s="24"/>
      <c r="P56" s="24">
        <v>128</v>
      </c>
      <c r="Q56" s="24">
        <v>192</v>
      </c>
      <c r="R56" s="24">
        <v>192</v>
      </c>
      <c r="S56" s="24"/>
      <c r="T56" s="24">
        <v>448</v>
      </c>
      <c r="U56" s="24">
        <v>128</v>
      </c>
      <c r="V56" s="24"/>
      <c r="W56" s="24"/>
      <c r="X56" s="24"/>
      <c r="Y56" s="24"/>
      <c r="Z56" s="24"/>
      <c r="AA56" s="24"/>
      <c r="AB56" s="24"/>
      <c r="AC56" s="24">
        <v>256</v>
      </c>
      <c r="AD56" s="24"/>
      <c r="AE56" s="24"/>
      <c r="AF56" s="24"/>
      <c r="AG56" s="24">
        <v>128</v>
      </c>
      <c r="AH56" s="24"/>
      <c r="AI56" s="24">
        <v>64</v>
      </c>
      <c r="AJ56" s="24"/>
      <c r="AK56" s="24"/>
      <c r="AL56" s="24"/>
      <c r="AM56" s="24"/>
      <c r="AN56" s="24"/>
      <c r="AO56" s="24"/>
      <c r="AP56" s="24"/>
      <c r="AQ56" s="24">
        <v>64</v>
      </c>
      <c r="AR56" s="24"/>
      <c r="AS56" s="24"/>
      <c r="AT56" s="24">
        <v>128</v>
      </c>
      <c r="AU56" s="24"/>
      <c r="AV56" s="24"/>
      <c r="AW56" s="24"/>
      <c r="AX56" s="24"/>
      <c r="AY56" s="24">
        <v>128</v>
      </c>
      <c r="AZ56" s="24">
        <v>128</v>
      </c>
      <c r="BA56" s="24"/>
      <c r="BB56" s="24">
        <v>128</v>
      </c>
      <c r="BC56" s="24"/>
      <c r="BD56" s="24">
        <v>192</v>
      </c>
      <c r="BE56" s="24"/>
      <c r="BF56" s="24"/>
      <c r="BG56" s="24"/>
      <c r="BH56" s="24">
        <v>576</v>
      </c>
      <c r="BI56" s="24"/>
      <c r="BJ56" s="24">
        <v>768</v>
      </c>
      <c r="BK56" s="24">
        <v>4224</v>
      </c>
    </row>
    <row r="57" spans="1:63" x14ac:dyDescent="0.15">
      <c r="A57">
        <v>100250</v>
      </c>
      <c r="B57" s="24"/>
      <c r="C57" s="24"/>
      <c r="D57" s="24"/>
      <c r="E57" s="24"/>
      <c r="F57" s="24"/>
      <c r="G57" s="24"/>
      <c r="H57" s="24"/>
      <c r="I57" s="24"/>
      <c r="J57" s="24">
        <v>40</v>
      </c>
      <c r="K57" s="24"/>
      <c r="L57" s="24"/>
      <c r="M57" s="24"/>
      <c r="N57" s="24"/>
      <c r="O57" s="24"/>
      <c r="P57" s="24">
        <v>48</v>
      </c>
      <c r="Q57" s="24">
        <v>96</v>
      </c>
      <c r="R57" s="24">
        <v>96</v>
      </c>
      <c r="S57" s="24"/>
      <c r="T57" s="24">
        <v>144</v>
      </c>
      <c r="U57" s="24"/>
      <c r="V57" s="24"/>
      <c r="W57" s="24"/>
      <c r="X57" s="24"/>
      <c r="Y57" s="24"/>
      <c r="Z57" s="24"/>
      <c r="AA57" s="24"/>
      <c r="AB57" s="24"/>
      <c r="AC57" s="24">
        <v>144</v>
      </c>
      <c r="AD57" s="24"/>
      <c r="AE57" s="24"/>
      <c r="AF57" s="24"/>
      <c r="AG57" s="24">
        <v>144</v>
      </c>
      <c r="AH57" s="24"/>
      <c r="AI57" s="24"/>
      <c r="AJ57" s="24"/>
      <c r="AK57" s="24"/>
      <c r="AL57" s="24"/>
      <c r="AM57" s="24"/>
      <c r="AN57" s="24"/>
      <c r="AO57" s="24"/>
      <c r="AP57" s="24"/>
      <c r="AQ57" s="24">
        <v>48</v>
      </c>
      <c r="AR57" s="24"/>
      <c r="AS57" s="24"/>
      <c r="AT57" s="24"/>
      <c r="AU57" s="24">
        <v>96</v>
      </c>
      <c r="AV57" s="24"/>
      <c r="AW57" s="24"/>
      <c r="AX57" s="24"/>
      <c r="AY57" s="24"/>
      <c r="AZ57" s="24">
        <v>96</v>
      </c>
      <c r="BA57" s="24"/>
      <c r="BB57" s="24">
        <v>48</v>
      </c>
      <c r="BC57" s="24"/>
      <c r="BD57" s="24">
        <v>96</v>
      </c>
      <c r="BE57" s="24"/>
      <c r="BF57" s="24"/>
      <c r="BG57" s="24"/>
      <c r="BH57" s="24">
        <v>96</v>
      </c>
      <c r="BI57" s="24"/>
      <c r="BJ57" s="24">
        <v>288</v>
      </c>
      <c r="BK57" s="24">
        <v>1480</v>
      </c>
    </row>
    <row r="58" spans="1:63" x14ac:dyDescent="0.15">
      <c r="A58">
        <v>100251</v>
      </c>
      <c r="B58" s="24"/>
      <c r="C58" s="24">
        <v>96</v>
      </c>
      <c r="D58" s="24">
        <v>96</v>
      </c>
      <c r="E58" s="24"/>
      <c r="F58" s="24"/>
      <c r="G58" s="24">
        <v>48</v>
      </c>
      <c r="H58" s="24"/>
      <c r="I58" s="24">
        <v>48</v>
      </c>
      <c r="J58" s="24"/>
      <c r="K58" s="24"/>
      <c r="L58" s="24">
        <v>96</v>
      </c>
      <c r="M58" s="24"/>
      <c r="N58" s="24">
        <v>48</v>
      </c>
      <c r="O58" s="24"/>
      <c r="P58" s="24"/>
      <c r="Q58" s="24">
        <v>192</v>
      </c>
      <c r="R58" s="24">
        <v>192</v>
      </c>
      <c r="S58" s="24"/>
      <c r="T58" s="24"/>
      <c r="U58" s="24">
        <v>96</v>
      </c>
      <c r="V58" s="24"/>
      <c r="W58" s="24"/>
      <c r="X58" s="24"/>
      <c r="Y58" s="24"/>
      <c r="Z58" s="24">
        <v>144</v>
      </c>
      <c r="AA58" s="24"/>
      <c r="AB58" s="24"/>
      <c r="AC58" s="24">
        <v>144</v>
      </c>
      <c r="AD58" s="24"/>
      <c r="AE58" s="24"/>
      <c r="AF58" s="24"/>
      <c r="AG58" s="24"/>
      <c r="AH58" s="24">
        <v>240</v>
      </c>
      <c r="AI58" s="24">
        <v>192</v>
      </c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>
        <v>240</v>
      </c>
      <c r="AV58" s="24"/>
      <c r="AW58" s="24"/>
      <c r="AX58" s="24"/>
      <c r="AY58" s="24"/>
      <c r="AZ58" s="24">
        <v>96</v>
      </c>
      <c r="BA58" s="24"/>
      <c r="BB58" s="24">
        <v>96</v>
      </c>
      <c r="BC58" s="24"/>
      <c r="BD58" s="24">
        <v>96</v>
      </c>
      <c r="BE58" s="24"/>
      <c r="BF58" s="24"/>
      <c r="BG58" s="24"/>
      <c r="BH58" s="24">
        <v>336</v>
      </c>
      <c r="BI58" s="24"/>
      <c r="BJ58" s="24">
        <v>432</v>
      </c>
      <c r="BK58" s="24">
        <v>2928</v>
      </c>
    </row>
    <row r="59" spans="1:63" x14ac:dyDescent="0.15">
      <c r="A59">
        <v>100252</v>
      </c>
      <c r="B59" s="24"/>
      <c r="C59" s="24"/>
      <c r="D59" s="24"/>
      <c r="E59" s="24"/>
      <c r="F59" s="24"/>
      <c r="G59" s="24"/>
      <c r="H59" s="24"/>
      <c r="I59" s="24"/>
      <c r="J59" s="24">
        <v>18</v>
      </c>
      <c r="K59" s="24"/>
      <c r="L59" s="24"/>
      <c r="M59" s="24"/>
      <c r="N59" s="24">
        <v>126</v>
      </c>
      <c r="O59" s="24"/>
      <c r="P59" s="24"/>
      <c r="Q59" s="24">
        <v>126</v>
      </c>
      <c r="R59" s="24">
        <v>126</v>
      </c>
      <c r="S59" s="24"/>
      <c r="T59" s="24"/>
      <c r="U59" s="24">
        <v>18</v>
      </c>
      <c r="V59" s="24"/>
      <c r="W59" s="24"/>
      <c r="X59" s="24"/>
      <c r="Y59" s="24"/>
      <c r="Z59" s="24">
        <v>18</v>
      </c>
      <c r="AA59" s="24"/>
      <c r="AB59" s="24"/>
      <c r="AC59" s="24">
        <v>180</v>
      </c>
      <c r="AD59" s="24"/>
      <c r="AE59" s="24"/>
      <c r="AF59" s="24"/>
      <c r="AG59" s="24">
        <v>126</v>
      </c>
      <c r="AH59" s="24"/>
      <c r="AI59" s="24">
        <v>36</v>
      </c>
      <c r="AJ59" s="24"/>
      <c r="AK59" s="24"/>
      <c r="AL59" s="24"/>
      <c r="AM59" s="24"/>
      <c r="AN59" s="24">
        <v>162</v>
      </c>
      <c r="AO59" s="24"/>
      <c r="AP59" s="24"/>
      <c r="AQ59" s="24">
        <v>54</v>
      </c>
      <c r="AR59" s="24"/>
      <c r="AS59" s="24"/>
      <c r="AT59" s="24"/>
      <c r="AU59" s="24">
        <v>90</v>
      </c>
      <c r="AV59" s="24"/>
      <c r="AW59" s="24"/>
      <c r="AX59" s="24"/>
      <c r="AY59" s="24"/>
      <c r="AZ59" s="24">
        <v>36</v>
      </c>
      <c r="BA59" s="24"/>
      <c r="BB59" s="24">
        <v>54</v>
      </c>
      <c r="BC59" s="24"/>
      <c r="BD59" s="24">
        <v>72</v>
      </c>
      <c r="BE59" s="24"/>
      <c r="BF59" s="24"/>
      <c r="BG59" s="24"/>
      <c r="BH59" s="24">
        <v>126</v>
      </c>
      <c r="BI59" s="24"/>
      <c r="BJ59" s="24">
        <v>126</v>
      </c>
      <c r="BK59" s="24">
        <v>1494</v>
      </c>
    </row>
    <row r="60" spans="1:63" x14ac:dyDescent="0.15">
      <c r="A60">
        <v>100253</v>
      </c>
      <c r="B60" s="24"/>
      <c r="C60" s="24"/>
      <c r="D60" s="24"/>
      <c r="E60" s="24"/>
      <c r="F60" s="24"/>
      <c r="G60" s="24"/>
      <c r="H60" s="24"/>
      <c r="I60" s="24"/>
      <c r="J60" s="24">
        <v>18</v>
      </c>
      <c r="K60" s="24"/>
      <c r="L60" s="24"/>
      <c r="M60" s="24"/>
      <c r="N60" s="24">
        <v>18</v>
      </c>
      <c r="O60" s="24"/>
      <c r="P60" s="24"/>
      <c r="Q60" s="24">
        <v>54</v>
      </c>
      <c r="R60" s="24">
        <v>54</v>
      </c>
      <c r="S60" s="24"/>
      <c r="T60" s="24">
        <v>90</v>
      </c>
      <c r="U60" s="24">
        <v>-13</v>
      </c>
      <c r="V60" s="24"/>
      <c r="W60" s="24"/>
      <c r="X60" s="24"/>
      <c r="Y60" s="24"/>
      <c r="Z60" s="24"/>
      <c r="AA60" s="24"/>
      <c r="AB60" s="24"/>
      <c r="AC60" s="24">
        <v>54</v>
      </c>
      <c r="AD60" s="24"/>
      <c r="AE60" s="24"/>
      <c r="AF60" s="24"/>
      <c r="AG60" s="24"/>
      <c r="AH60" s="24">
        <v>90</v>
      </c>
      <c r="AI60" s="24">
        <v>108</v>
      </c>
      <c r="AJ60" s="24"/>
      <c r="AK60" s="24"/>
      <c r="AL60" s="24"/>
      <c r="AM60" s="24"/>
      <c r="AN60" s="24"/>
      <c r="AO60" s="24"/>
      <c r="AP60" s="24"/>
      <c r="AQ60" s="24">
        <v>108</v>
      </c>
      <c r="AR60" s="24"/>
      <c r="AS60" s="24"/>
      <c r="AT60" s="24"/>
      <c r="AU60" s="24">
        <v>36</v>
      </c>
      <c r="AV60" s="24"/>
      <c r="AW60" s="24"/>
      <c r="AX60" s="24"/>
      <c r="AY60" s="24"/>
      <c r="AZ60" s="24">
        <v>54</v>
      </c>
      <c r="BA60" s="24"/>
      <c r="BB60" s="24">
        <v>36</v>
      </c>
      <c r="BC60" s="24"/>
      <c r="BD60" s="24">
        <v>54</v>
      </c>
      <c r="BE60" s="24"/>
      <c r="BF60" s="24"/>
      <c r="BG60" s="24"/>
      <c r="BH60" s="24">
        <v>108</v>
      </c>
      <c r="BI60" s="24"/>
      <c r="BJ60" s="24">
        <v>90</v>
      </c>
      <c r="BK60" s="24">
        <v>959</v>
      </c>
    </row>
    <row r="61" spans="1:63" x14ac:dyDescent="0.15">
      <c r="A61">
        <v>100254</v>
      </c>
      <c r="B61" s="24"/>
      <c r="C61" s="24"/>
      <c r="D61" s="24"/>
      <c r="E61" s="24"/>
      <c r="F61" s="24"/>
      <c r="G61" s="24"/>
      <c r="H61" s="24"/>
      <c r="I61" s="24"/>
      <c r="J61" s="24">
        <v>5</v>
      </c>
      <c r="K61" s="24"/>
      <c r="L61" s="24"/>
      <c r="M61" s="24"/>
      <c r="N61" s="24"/>
      <c r="O61" s="24"/>
      <c r="P61" s="24">
        <v>18</v>
      </c>
      <c r="Q61" s="24">
        <v>18</v>
      </c>
      <c r="R61" s="24">
        <v>18</v>
      </c>
      <c r="S61" s="24"/>
      <c r="T61" s="24"/>
      <c r="U61" s="24">
        <v>13</v>
      </c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>
        <v>18</v>
      </c>
      <c r="AI61" s="24"/>
      <c r="AJ61" s="24"/>
      <c r="AK61" s="24"/>
      <c r="AL61" s="24">
        <v>18</v>
      </c>
      <c r="AM61" s="24"/>
      <c r="AN61" s="24"/>
      <c r="AO61" s="24"/>
      <c r="AP61" s="24"/>
      <c r="AQ61" s="24"/>
      <c r="AR61" s="24"/>
      <c r="AS61" s="24"/>
      <c r="AT61" s="24"/>
      <c r="AU61" s="24">
        <v>18</v>
      </c>
      <c r="AV61" s="24"/>
      <c r="AW61" s="24"/>
      <c r="AX61" s="24"/>
      <c r="AY61" s="24"/>
      <c r="AZ61" s="24"/>
      <c r="BA61" s="24"/>
      <c r="BB61" s="24">
        <v>18</v>
      </c>
      <c r="BC61" s="24"/>
      <c r="BD61" s="24"/>
      <c r="BE61" s="24"/>
      <c r="BF61" s="24"/>
      <c r="BG61" s="24"/>
      <c r="BH61" s="24">
        <v>18</v>
      </c>
      <c r="BI61" s="24"/>
      <c r="BJ61" s="24">
        <v>18</v>
      </c>
      <c r="BK61" s="24">
        <v>180</v>
      </c>
    </row>
    <row r="62" spans="1:63" x14ac:dyDescent="0.15">
      <c r="A62">
        <v>100255</v>
      </c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>
        <v>96</v>
      </c>
      <c r="AN62" s="24"/>
      <c r="AO62" s="24"/>
      <c r="AP62" s="24"/>
      <c r="AQ62" s="24"/>
      <c r="AR62" s="24"/>
      <c r="AS62" s="24"/>
      <c r="AT62" s="24"/>
      <c r="AU62" s="24"/>
      <c r="AV62" s="24"/>
      <c r="AW62" s="24">
        <v>144</v>
      </c>
      <c r="AX62" s="24"/>
      <c r="AY62" s="24"/>
      <c r="AZ62" s="24"/>
      <c r="BA62" s="24"/>
      <c r="BB62" s="24"/>
      <c r="BC62" s="24">
        <v>48</v>
      </c>
      <c r="BD62" s="24"/>
      <c r="BE62" s="24"/>
      <c r="BF62" s="24">
        <v>96</v>
      </c>
      <c r="BG62" s="24"/>
      <c r="BH62" s="24"/>
      <c r="BI62" s="24"/>
      <c r="BJ62" s="24"/>
      <c r="BK62" s="24">
        <v>384</v>
      </c>
    </row>
    <row r="63" spans="1:63" x14ac:dyDescent="0.15">
      <c r="A63">
        <v>100256</v>
      </c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>
        <v>32</v>
      </c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>
        <v>32</v>
      </c>
      <c r="BD63" s="24"/>
      <c r="BE63" s="24"/>
      <c r="BF63" s="24"/>
      <c r="BG63" s="24">
        <v>32</v>
      </c>
      <c r="BH63" s="24"/>
      <c r="BI63" s="24"/>
      <c r="BJ63" s="24"/>
      <c r="BK63" s="24">
        <v>96</v>
      </c>
    </row>
    <row r="64" spans="1:63" x14ac:dyDescent="0.15">
      <c r="A64">
        <v>100257</v>
      </c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>
        <v>32</v>
      </c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>
        <v>32</v>
      </c>
      <c r="BF64" s="24">
        <v>32</v>
      </c>
      <c r="BG64" s="24"/>
      <c r="BH64" s="24"/>
      <c r="BI64" s="24"/>
      <c r="BJ64" s="24"/>
      <c r="BK64" s="24">
        <v>96</v>
      </c>
    </row>
    <row r="65" spans="1:63" x14ac:dyDescent="0.15">
      <c r="A65">
        <v>100258</v>
      </c>
      <c r="B65" s="24"/>
      <c r="C65" s="24">
        <v>15</v>
      </c>
      <c r="D65" s="24">
        <v>120</v>
      </c>
      <c r="E65" s="24"/>
      <c r="F65" s="24"/>
      <c r="G65" s="24">
        <v>75</v>
      </c>
      <c r="H65" s="24"/>
      <c r="I65" s="24">
        <v>105</v>
      </c>
      <c r="J65" s="24"/>
      <c r="K65" s="24"/>
      <c r="L65" s="24">
        <v>45</v>
      </c>
      <c r="M65" s="24"/>
      <c r="N65" s="24">
        <v>30</v>
      </c>
      <c r="O65" s="24"/>
      <c r="P65" s="24">
        <v>90</v>
      </c>
      <c r="Q65" s="24">
        <v>90</v>
      </c>
      <c r="R65" s="24">
        <v>90</v>
      </c>
      <c r="S65" s="24"/>
      <c r="T65" s="24">
        <v>90</v>
      </c>
      <c r="U65" s="24">
        <v>35</v>
      </c>
      <c r="V65" s="24"/>
      <c r="W65" s="24"/>
      <c r="X65" s="24"/>
      <c r="Y65" s="24"/>
      <c r="Z65" s="24">
        <v>45</v>
      </c>
      <c r="AA65" s="24">
        <v>45</v>
      </c>
      <c r="AB65" s="24"/>
      <c r="AC65" s="24">
        <v>210</v>
      </c>
      <c r="AD65" s="24"/>
      <c r="AE65" s="24"/>
      <c r="AF65" s="24"/>
      <c r="AG65" s="24">
        <v>270</v>
      </c>
      <c r="AH65" s="24"/>
      <c r="AI65" s="24">
        <v>75</v>
      </c>
      <c r="AJ65" s="24"/>
      <c r="AK65" s="24"/>
      <c r="AL65" s="24">
        <v>105</v>
      </c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135</v>
      </c>
      <c r="AW65" s="24"/>
      <c r="AX65" s="24"/>
      <c r="AY65" s="24"/>
      <c r="AZ65" s="24">
        <v>120</v>
      </c>
      <c r="BA65" s="24"/>
      <c r="BB65" s="24">
        <v>75</v>
      </c>
      <c r="BC65" s="24"/>
      <c r="BD65" s="24">
        <v>165</v>
      </c>
      <c r="BE65" s="24"/>
      <c r="BF65" s="24"/>
      <c r="BG65" s="24"/>
      <c r="BH65" s="24">
        <v>270</v>
      </c>
      <c r="BI65" s="24"/>
      <c r="BJ65" s="24"/>
      <c r="BK65" s="24">
        <v>2300</v>
      </c>
    </row>
    <row r="66" spans="1:63" x14ac:dyDescent="0.15">
      <c r="A66">
        <v>100259</v>
      </c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>
        <v>18</v>
      </c>
      <c r="AD66" s="24"/>
      <c r="AE66" s="24"/>
      <c r="AF66" s="24"/>
      <c r="AG66" s="24">
        <v>36</v>
      </c>
      <c r="AH66" s="24"/>
      <c r="AI66" s="24">
        <v>108</v>
      </c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>
        <v>18</v>
      </c>
      <c r="AZ66" s="24">
        <v>54</v>
      </c>
      <c r="BA66" s="24"/>
      <c r="BB66" s="24">
        <v>54</v>
      </c>
      <c r="BC66" s="24"/>
      <c r="BD66" s="24">
        <v>108</v>
      </c>
      <c r="BE66" s="24"/>
      <c r="BF66" s="24"/>
      <c r="BG66" s="24"/>
      <c r="BH66" s="24">
        <v>54</v>
      </c>
      <c r="BI66" s="24"/>
      <c r="BJ66" s="24">
        <v>18</v>
      </c>
      <c r="BK66" s="24">
        <v>468</v>
      </c>
    </row>
    <row r="67" spans="1:63" x14ac:dyDescent="0.15">
      <c r="A67">
        <v>100260</v>
      </c>
      <c r="B67" s="24"/>
      <c r="C67" s="24"/>
      <c r="D67" s="24"/>
      <c r="E67" s="24"/>
      <c r="F67" s="24"/>
      <c r="G67" s="24"/>
      <c r="H67" s="24"/>
      <c r="I67" s="24"/>
      <c r="J67" s="24">
        <v>30</v>
      </c>
      <c r="K67" s="24"/>
      <c r="L67" s="24"/>
      <c r="M67" s="24"/>
      <c r="N67" s="24">
        <v>60</v>
      </c>
      <c r="O67" s="24"/>
      <c r="P67" s="24"/>
      <c r="Q67" s="24"/>
      <c r="R67" s="24"/>
      <c r="S67" s="24"/>
      <c r="T67" s="24">
        <v>90</v>
      </c>
      <c r="U67" s="24"/>
      <c r="V67" s="24"/>
      <c r="W67" s="24"/>
      <c r="X67" s="24"/>
      <c r="Y67" s="24"/>
      <c r="Z67" s="24"/>
      <c r="AA67" s="24">
        <v>30</v>
      </c>
      <c r="AB67" s="24"/>
      <c r="AC67" s="24">
        <v>30</v>
      </c>
      <c r="AD67" s="24"/>
      <c r="AE67" s="24"/>
      <c r="AF67" s="24"/>
      <c r="AG67" s="24"/>
      <c r="AH67" s="24">
        <v>30</v>
      </c>
      <c r="AI67" s="24">
        <v>30</v>
      </c>
      <c r="AJ67" s="24"/>
      <c r="AK67" s="24"/>
      <c r="AL67" s="24"/>
      <c r="AM67" s="24"/>
      <c r="AN67" s="24"/>
      <c r="AO67" s="24"/>
      <c r="AP67" s="24"/>
      <c r="AQ67" s="24">
        <v>60</v>
      </c>
      <c r="AR67" s="24"/>
      <c r="AS67" s="24"/>
      <c r="AT67" s="24"/>
      <c r="AU67" s="24"/>
      <c r="AV67" s="24">
        <v>30</v>
      </c>
      <c r="AW67" s="24"/>
      <c r="AX67" s="24"/>
      <c r="AY67" s="24"/>
      <c r="AZ67" s="24"/>
      <c r="BA67" s="24"/>
      <c r="BB67" s="24"/>
      <c r="BC67" s="24">
        <v>30</v>
      </c>
      <c r="BD67" s="24"/>
      <c r="BE67" s="24">
        <v>30</v>
      </c>
      <c r="BF67" s="24"/>
      <c r="BG67" s="24"/>
      <c r="BH67" s="24"/>
      <c r="BI67" s="24"/>
      <c r="BJ67" s="24">
        <v>30</v>
      </c>
      <c r="BK67" s="24">
        <v>480</v>
      </c>
    </row>
    <row r="68" spans="1:63" x14ac:dyDescent="0.15">
      <c r="A68">
        <v>100261</v>
      </c>
      <c r="B68" s="24"/>
      <c r="C68" s="24"/>
      <c r="D68" s="24"/>
      <c r="E68" s="24"/>
      <c r="F68" s="24"/>
      <c r="G68" s="24"/>
      <c r="H68" s="24"/>
      <c r="I68" s="24"/>
      <c r="J68" s="24">
        <v>18</v>
      </c>
      <c r="K68" s="24"/>
      <c r="L68" s="24">
        <v>18</v>
      </c>
      <c r="M68" s="24"/>
      <c r="N68" s="24"/>
      <c r="O68" s="24"/>
      <c r="P68" s="24">
        <v>36</v>
      </c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>
        <v>36</v>
      </c>
      <c r="AI68" s="24"/>
      <c r="AJ68" s="24"/>
      <c r="AK68" s="24"/>
      <c r="AL68" s="24"/>
      <c r="AM68" s="24"/>
      <c r="AN68" s="24">
        <v>36</v>
      </c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>
        <v>18</v>
      </c>
      <c r="BH68" s="24"/>
      <c r="BI68" s="24"/>
      <c r="BJ68" s="24"/>
      <c r="BK68" s="24">
        <v>162</v>
      </c>
    </row>
    <row r="69" spans="1:63" x14ac:dyDescent="0.15">
      <c r="A69">
        <v>100262</v>
      </c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>
        <v>120</v>
      </c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>
        <v>40</v>
      </c>
      <c r="BH69" s="24"/>
      <c r="BI69" s="24"/>
      <c r="BJ69" s="24"/>
      <c r="BK69" s="24">
        <v>160</v>
      </c>
    </row>
    <row r="70" spans="1:63" x14ac:dyDescent="0.15">
      <c r="A70">
        <v>100263</v>
      </c>
      <c r="B70" s="24"/>
      <c r="C70" s="24"/>
      <c r="D70" s="24"/>
      <c r="E70" s="24"/>
      <c r="F70" s="24"/>
      <c r="G70" s="24"/>
      <c r="H70" s="24"/>
      <c r="I70" s="24"/>
      <c r="J70" s="24">
        <v>27</v>
      </c>
      <c r="K70" s="24"/>
      <c r="L70" s="24">
        <v>108</v>
      </c>
      <c r="M70" s="24"/>
      <c r="N70" s="24"/>
      <c r="O70" s="24"/>
      <c r="P70" s="24"/>
      <c r="Q70" s="24"/>
      <c r="R70" s="24"/>
      <c r="S70" s="24">
        <v>189</v>
      </c>
      <c r="T70" s="24"/>
      <c r="U70" s="24">
        <v>54</v>
      </c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>
        <v>216</v>
      </c>
      <c r="AI70" s="24">
        <v>162</v>
      </c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>
        <v>108</v>
      </c>
      <c r="AW70" s="24"/>
      <c r="AX70" s="24"/>
      <c r="AY70" s="24"/>
      <c r="AZ70" s="24">
        <v>54</v>
      </c>
      <c r="BA70" s="24"/>
      <c r="BB70" s="24">
        <v>27</v>
      </c>
      <c r="BC70" s="24">
        <v>54</v>
      </c>
      <c r="BD70" s="24"/>
      <c r="BE70" s="24"/>
      <c r="BF70" s="24">
        <v>54</v>
      </c>
      <c r="BG70" s="24">
        <v>27</v>
      </c>
      <c r="BH70" s="24"/>
      <c r="BI70" s="24"/>
      <c r="BJ70" s="24"/>
      <c r="BK70" s="24">
        <v>1080</v>
      </c>
    </row>
    <row r="71" spans="1:63" x14ac:dyDescent="0.15">
      <c r="A71">
        <v>100264</v>
      </c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>
        <v>72</v>
      </c>
      <c r="V71" s="24"/>
      <c r="W71" s="24"/>
      <c r="X71" s="24"/>
      <c r="Y71" s="24"/>
      <c r="Z71" s="24"/>
      <c r="AA71" s="24"/>
      <c r="AB71" s="24"/>
      <c r="AC71" s="24">
        <v>120</v>
      </c>
      <c r="AD71" s="24"/>
      <c r="AE71" s="24"/>
      <c r="AF71" s="24"/>
      <c r="AG71" s="24">
        <v>168</v>
      </c>
      <c r="AH71" s="24"/>
      <c r="AI71" s="24"/>
      <c r="AJ71" s="24"/>
      <c r="AK71" s="24"/>
      <c r="AL71" s="24"/>
      <c r="AM71" s="24"/>
      <c r="AN71" s="24"/>
      <c r="AO71" s="24"/>
      <c r="AP71" s="24">
        <v>24</v>
      </c>
      <c r="AQ71" s="24">
        <v>48</v>
      </c>
      <c r="AR71" s="24"/>
      <c r="AS71" s="24"/>
      <c r="AT71" s="24"/>
      <c r="AU71" s="24"/>
      <c r="AV71" s="24"/>
      <c r="AW71" s="24">
        <v>96</v>
      </c>
      <c r="AX71" s="24"/>
      <c r="AY71" s="24"/>
      <c r="AZ71" s="24"/>
      <c r="BA71" s="24">
        <v>24</v>
      </c>
      <c r="BB71" s="24"/>
      <c r="BC71" s="24">
        <v>96</v>
      </c>
      <c r="BD71" s="24"/>
      <c r="BE71" s="24"/>
      <c r="BF71" s="24"/>
      <c r="BG71" s="24">
        <v>48</v>
      </c>
      <c r="BH71" s="24"/>
      <c r="BI71" s="24">
        <v>120</v>
      </c>
      <c r="BJ71" s="24"/>
      <c r="BK71" s="24">
        <v>816</v>
      </c>
    </row>
    <row r="72" spans="1:63" x14ac:dyDescent="0.15">
      <c r="A72">
        <v>100265</v>
      </c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>
        <v>120</v>
      </c>
      <c r="AD72" s="24"/>
      <c r="AE72" s="24"/>
      <c r="AF72" s="24"/>
      <c r="AG72" s="24"/>
      <c r="AH72" s="24">
        <v>204</v>
      </c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>
        <v>24</v>
      </c>
      <c r="BB72" s="24"/>
      <c r="BC72" s="24">
        <v>48</v>
      </c>
      <c r="BD72" s="24"/>
      <c r="BE72" s="24"/>
      <c r="BF72" s="24"/>
      <c r="BG72" s="24">
        <v>12</v>
      </c>
      <c r="BH72" s="24"/>
      <c r="BI72" s="24">
        <v>60</v>
      </c>
      <c r="BJ72" s="24"/>
      <c r="BK72" s="24">
        <v>468</v>
      </c>
    </row>
    <row r="73" spans="1:63" x14ac:dyDescent="0.15">
      <c r="A73">
        <v>100266</v>
      </c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>
        <v>200</v>
      </c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>
        <v>300</v>
      </c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>
        <v>100</v>
      </c>
      <c r="BB73" s="24"/>
      <c r="BC73" s="24"/>
      <c r="BD73" s="24"/>
      <c r="BE73" s="24"/>
      <c r="BF73" s="24"/>
      <c r="BG73" s="24">
        <v>100</v>
      </c>
      <c r="BH73" s="24"/>
      <c r="BI73" s="24"/>
      <c r="BJ73" s="24"/>
      <c r="BK73" s="24">
        <v>700</v>
      </c>
    </row>
    <row r="74" spans="1:63" x14ac:dyDescent="0.15">
      <c r="A74">
        <v>100267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>
        <v>48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>
        <v>48</v>
      </c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>
        <v>48</v>
      </c>
      <c r="BF74" s="24"/>
      <c r="BG74" s="24"/>
      <c r="BH74" s="24"/>
      <c r="BI74" s="24"/>
      <c r="BJ74" s="24"/>
      <c r="BK74" s="24">
        <v>144</v>
      </c>
    </row>
    <row r="75" spans="1:63" x14ac:dyDescent="0.15">
      <c r="A75">
        <v>100268</v>
      </c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>
        <v>30</v>
      </c>
      <c r="BE75" s="24"/>
      <c r="BF75" s="24"/>
      <c r="BG75" s="24"/>
      <c r="BH75" s="24"/>
      <c r="BI75" s="24"/>
      <c r="BJ75" s="24"/>
      <c r="BK75" s="24">
        <v>30</v>
      </c>
    </row>
    <row r="76" spans="1:63" x14ac:dyDescent="0.15">
      <c r="A76">
        <v>100269</v>
      </c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>
        <v>21</v>
      </c>
      <c r="BE76" s="24"/>
      <c r="BF76" s="24"/>
      <c r="BG76" s="24"/>
      <c r="BH76" s="24"/>
      <c r="BI76" s="24"/>
      <c r="BJ76" s="24"/>
      <c r="BK76" s="24">
        <v>21</v>
      </c>
    </row>
    <row r="77" spans="1:63" x14ac:dyDescent="0.15">
      <c r="A77">
        <v>100270</v>
      </c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>
        <v>15</v>
      </c>
      <c r="BE77" s="24"/>
      <c r="BF77" s="24"/>
      <c r="BG77" s="24"/>
      <c r="BH77" s="24"/>
      <c r="BI77" s="24"/>
      <c r="BJ77" s="24">
        <v>15</v>
      </c>
      <c r="BK77" s="24">
        <v>30</v>
      </c>
    </row>
    <row r="78" spans="1:63" x14ac:dyDescent="0.15">
      <c r="A78">
        <v>100271</v>
      </c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>
        <v>2000</v>
      </c>
      <c r="Q78" s="24"/>
      <c r="R78" s="24"/>
      <c r="S78" s="24"/>
      <c r="T78" s="24">
        <v>2000</v>
      </c>
      <c r="U78" s="24">
        <v>-120</v>
      </c>
      <c r="V78" s="24"/>
      <c r="W78" s="24"/>
      <c r="X78" s="24"/>
      <c r="Y78" s="24"/>
      <c r="Z78" s="24"/>
      <c r="AA78" s="24"/>
      <c r="AB78" s="24"/>
      <c r="AC78" s="24">
        <v>2000</v>
      </c>
      <c r="AD78" s="24"/>
      <c r="AE78" s="24"/>
      <c r="AF78" s="24"/>
      <c r="AG78" s="24"/>
      <c r="AH78" s="24"/>
      <c r="AI78" s="24">
        <v>2000</v>
      </c>
      <c r="AJ78" s="24"/>
      <c r="AK78" s="24"/>
      <c r="AL78" s="24"/>
      <c r="AM78" s="24"/>
      <c r="AN78" s="24"/>
      <c r="AO78" s="24"/>
      <c r="AP78" s="24"/>
      <c r="AQ78" s="24">
        <v>2000</v>
      </c>
      <c r="AR78" s="24"/>
      <c r="AS78" s="24"/>
      <c r="AT78" s="24"/>
      <c r="AU78" s="24"/>
      <c r="AV78" s="24"/>
      <c r="AW78" s="24"/>
      <c r="AX78" s="24"/>
      <c r="AY78" s="24">
        <v>2000</v>
      </c>
      <c r="AZ78" s="24"/>
      <c r="BA78" s="24"/>
      <c r="BB78" s="24">
        <v>2000</v>
      </c>
      <c r="BC78" s="24"/>
      <c r="BD78" s="24">
        <v>2000</v>
      </c>
      <c r="BE78" s="24"/>
      <c r="BF78" s="24"/>
      <c r="BG78" s="24"/>
      <c r="BH78" s="24">
        <v>2000</v>
      </c>
      <c r="BI78" s="24"/>
      <c r="BJ78" s="24">
        <v>2000</v>
      </c>
      <c r="BK78" s="24">
        <v>19880</v>
      </c>
    </row>
    <row r="79" spans="1:63" x14ac:dyDescent="0.15">
      <c r="A79">
        <v>100272</v>
      </c>
      <c r="B79" s="24"/>
      <c r="C79" s="24"/>
      <c r="D79" s="24"/>
      <c r="E79" s="24"/>
      <c r="F79" s="24"/>
      <c r="G79" s="24"/>
      <c r="H79" s="24"/>
      <c r="I79" s="24"/>
      <c r="J79" s="24">
        <v>40</v>
      </c>
      <c r="K79" s="24"/>
      <c r="L79" s="24">
        <v>40</v>
      </c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>
        <v>80</v>
      </c>
    </row>
    <row r="80" spans="1:63" x14ac:dyDescent="0.15">
      <c r="A80" t="s">
        <v>227</v>
      </c>
      <c r="B80" s="24">
        <v>1473</v>
      </c>
      <c r="C80" s="24">
        <v>1135</v>
      </c>
      <c r="D80" s="24">
        <v>1629</v>
      </c>
      <c r="E80" s="24">
        <v>240</v>
      </c>
      <c r="F80" s="24">
        <v>585</v>
      </c>
      <c r="G80" s="24">
        <v>2492</v>
      </c>
      <c r="H80" s="24">
        <v>3066</v>
      </c>
      <c r="I80" s="24">
        <v>1459</v>
      </c>
      <c r="J80" s="24">
        <v>1778</v>
      </c>
      <c r="K80" s="24">
        <v>1064</v>
      </c>
      <c r="L80" s="24">
        <v>1626</v>
      </c>
      <c r="M80" s="24">
        <v>1757</v>
      </c>
      <c r="N80" s="24">
        <v>1766</v>
      </c>
      <c r="O80" s="24">
        <v>1638</v>
      </c>
      <c r="P80" s="24">
        <v>3183</v>
      </c>
      <c r="Q80" s="24">
        <v>1312</v>
      </c>
      <c r="R80" s="24">
        <v>1312</v>
      </c>
      <c r="S80" s="24">
        <v>343</v>
      </c>
      <c r="T80" s="24">
        <v>4091</v>
      </c>
      <c r="U80" s="24">
        <v>810</v>
      </c>
      <c r="V80" s="24">
        <v>1038</v>
      </c>
      <c r="W80" s="24">
        <v>652</v>
      </c>
      <c r="X80" s="24">
        <v>591</v>
      </c>
      <c r="Y80" s="24">
        <v>630</v>
      </c>
      <c r="Z80" s="24">
        <v>748</v>
      </c>
      <c r="AA80" s="24">
        <v>800</v>
      </c>
      <c r="AB80" s="24">
        <v>424</v>
      </c>
      <c r="AC80" s="24">
        <v>3508</v>
      </c>
      <c r="AD80" s="24">
        <v>1789</v>
      </c>
      <c r="AE80" s="24">
        <v>636</v>
      </c>
      <c r="AF80" s="24">
        <v>895</v>
      </c>
      <c r="AG80" s="24">
        <v>965</v>
      </c>
      <c r="AH80" s="24">
        <v>5892</v>
      </c>
      <c r="AI80" s="24">
        <v>3084</v>
      </c>
      <c r="AJ80" s="24">
        <v>931</v>
      </c>
      <c r="AK80" s="24">
        <v>884</v>
      </c>
      <c r="AL80" s="24">
        <v>2710</v>
      </c>
      <c r="AM80" s="24">
        <v>879</v>
      </c>
      <c r="AN80" s="24">
        <v>1266</v>
      </c>
      <c r="AO80" s="24">
        <v>1148</v>
      </c>
      <c r="AP80" s="24">
        <v>967</v>
      </c>
      <c r="AQ80" s="24">
        <v>2591</v>
      </c>
      <c r="AR80" s="24">
        <v>1308</v>
      </c>
      <c r="AS80" s="24">
        <v>477</v>
      </c>
      <c r="AT80" s="24">
        <v>380</v>
      </c>
      <c r="AU80" s="24">
        <v>480</v>
      </c>
      <c r="AV80" s="24">
        <v>393</v>
      </c>
      <c r="AW80" s="24">
        <v>1710</v>
      </c>
      <c r="AX80" s="24">
        <v>744</v>
      </c>
      <c r="AY80" s="24">
        <v>2347</v>
      </c>
      <c r="AZ80" s="24">
        <v>1336</v>
      </c>
      <c r="BA80" s="24">
        <v>1594</v>
      </c>
      <c r="BB80" s="24">
        <v>3269</v>
      </c>
      <c r="BC80" s="24">
        <v>1930</v>
      </c>
      <c r="BD80" s="24">
        <v>3646</v>
      </c>
      <c r="BE80" s="24">
        <v>1482</v>
      </c>
      <c r="BF80" s="24">
        <v>1763</v>
      </c>
      <c r="BG80" s="24">
        <v>1949</v>
      </c>
      <c r="BH80" s="24">
        <v>3918</v>
      </c>
      <c r="BI80" s="24">
        <v>1879</v>
      </c>
      <c r="BJ80" s="24">
        <v>4331</v>
      </c>
      <c r="BK80" s="24">
        <v>100723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入出庫記録（二次製品）</vt:lpstr>
      <vt:lpstr>入出庫記録（一輪車）</vt:lpstr>
      <vt:lpstr>入出庫記録 (砂バラス)</vt:lpstr>
      <vt:lpstr>二次製品納品書入力</vt:lpstr>
      <vt:lpstr>入出庫記録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Kinichi</dc:creator>
  <cp:lastModifiedBy>事務D</cp:lastModifiedBy>
  <cp:lastPrinted>2015-06-15T07:57:15Z</cp:lastPrinted>
  <dcterms:created xsi:type="dcterms:W3CDTF">2006-09-16T00:00:00Z</dcterms:created>
  <dcterms:modified xsi:type="dcterms:W3CDTF">2016-05-31T07:07:58Z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68b75cbc-73ad-4c34-bcbb-da610d6c685b</vt:lpwstr>
  </property>
</Properties>
</file>